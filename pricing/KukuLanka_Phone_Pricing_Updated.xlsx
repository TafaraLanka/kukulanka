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ef6bfc72c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04c16f899b17416e"/>
    <x:sheet xmlns:r="http://schemas.openxmlformats.org/officeDocument/2006/relationships" name="Profit Rules" sheetId="2" r:id="R5a2a582e470e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$0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0F6B72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EAF7F5"/>
      </x:patternFill>
    </x:fill>
    <x:fill>
      <x:patternFill patternType="solid">
        <x:fgColor rgb="FF21466B"/>
      </x:patternFill>
    </x:fill>
    <x:fill>
      <x:patternFill patternType="solid">
        <x:fgColor rgb="FFF4F8FC"/>
      </x:patternFill>
    </x:fill>
    <x:fill>
      <x:patternFill patternType="solid">
        <x:fgColor rgb="FFF1FAF6"/>
      </x:patternFill>
    </x:fill>
    <x:fill>
      <x:patternFill patternType="solid">
        <x:fgColor rgb="FFFFF8F1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  <x:xf numFmtId="200" fontId="0" fillId="7" borderId="2" xfId="0" applyNumberFormat="1" applyFont="1" applyFill="1" applyBorder="1" applyAlignment="1">
      <x:alignment wrapText="1"/>
    </x:xf>
    <x:xf numFmtId="201" fontId="0" fillId="7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1" fontId="0" fillId="5" borderId="3" xfId="0" applyNumberFormat="1" applyFont="1" applyFill="1" applyBorder="1" applyAlignment="1">
      <x:alignment wrapText="1"/>
    </x:xf>
    <x:xf numFmtId="200" fontId="0" fillId="6" borderId="3" xfId="0" applyNumberFormat="1" applyFont="1" applyFill="1" applyBorder="1" applyAlignment="1">
      <x:alignment wrapText="1"/>
    </x:xf>
    <x:xf numFmtId="201" fontId="0" fillId="6" borderId="3" xfId="0" applyNumberFormat="1" applyFont="1" applyFill="1" applyBorder="1" applyAlignment="1">
      <x:alignment wrapText="1"/>
    </x:xf>
    <x:xf numFmtId="200" fontId="0" fillId="7" borderId="3" xfId="0" applyNumberFormat="1" applyFont="1" applyFill="1" applyBorder="1" applyAlignment="1">
      <x:alignment wrapText="1"/>
    </x:xf>
    <x:xf numFmtId="201" fontId="0" fillId="7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c185240424d36" /><Relationship Type="http://schemas.openxmlformats.org/officeDocument/2006/relationships/theme" Target="/xl/theme/theme1.xml" Id="Rceddb99cb0ae49ec" /><Relationship Type="http://schemas.openxmlformats.org/officeDocument/2006/relationships/sharedStrings" Target="/xl/sharedStrings.xml" Id="Ra9ae00ba5d654a11" /><Relationship Type="http://schemas.openxmlformats.org/officeDocument/2006/relationships/worksheet" Target="/xl/worksheets/sheet1.xml" Id="R04c16f899b17416e" /><Relationship Type="http://schemas.openxmlformats.org/officeDocument/2006/relationships/worksheet" Target="/xl/worksheets/sheet2.xml" Id="R5a2a582e470e47e7" /></Relationships>
</file>

<file path=xl/tables/table1.xml><?xml version="1.0" encoding="utf-8"?>
<x:table xmlns:x="http://schemas.openxmlformats.org/spreadsheetml/2006/main" id="1" name="PricingTable" displayName="PricingTable" ref="A5:M105" headerRowCount="1" totalsRowCount="0" totalsRowShown="0">
  <x:tableColumns count="13">
    <x:tableColumn id="1" name="Brand"/>
    <x:tableColumn id="2" name="Series / Family"/>
    <x:tableColumn id="3" name="Phone Model"/>
    <x:tableColumn id="4" name="Storage"/>
    <x:tableColumn id="5" name="Boxed Cost USD"/>
    <x:tableColumn id="6" name="Boxed Profit USD"/>
    <x:tableColumn id="7" name="Boxed Selling USD"/>
    <x:tableColumn id="8" name="99% New Cost USD"/>
    <x:tableColumn id="9" name="99% New Profit USD"/>
    <x:tableColumn id="10" name="99% New Selling USD"/>
    <x:tableColumn id="11" name="95% New Cost USD"/>
    <x:tableColumn id="12" name="95% New Profit USD"/>
    <x:tableColumn id="13" name="95% New Selling 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tRulesTable" displayName="ProfitRulesTable" ref="A2:E9" headerRowCount="1" totalsRowCount="0" totalsRowShown="0">
  <x:tableColumns count="5">
    <x:tableColumn id="1" name="Minimum Cost (USD)"/>
    <x:tableColumn id="2" name="Base Profit (USD)"/>
    <x:tableColumn id="3" name="Maximum Cost (USD)"/>
    <x:tableColumn id="4" name="Rule"/>
    <x:tableColumn id="5" name="Selling-price rou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8f6218764c4c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ca9ed0e5d04330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1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 ht="30" customHeight="1">
      <x:c r="A1" s="5" t="str">
        <x:v>KUKULANKA | COST → SELLING PRICE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2" t="str">
        <x:v>Only rows with at least one USD supplier cost are included. Selling prices use the profit rules sheet and round upward to the nearest $5.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2" customHeight="1">
      <x:c r="A3" s="12" t="str">
        <x:v>Conditions: Boxed · 99% New · 95% New | Cost columns are the original landed costs supplied in the source workbook.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 ht="32" customHeight="1">
      <x:c r="A5" s="20" t="str">
        <x:v>Brand</x:v>
      </x:c>
      <x:c r="B5" s="20" t="str">
        <x:v>Series / Family</x:v>
      </x:c>
      <x:c r="C5" s="20" t="str">
        <x:v>Phone Model</x:v>
      </x:c>
      <x:c r="D5" s="20" t="str">
        <x:v>Storage</x:v>
      </x:c>
      <x:c r="E5" s="20" t="str">
        <x:v>Boxed Cost USD</x:v>
      </x:c>
      <x:c r="F5" s="20" t="str">
        <x:v>Boxed Profit USD</x:v>
      </x:c>
      <x:c r="G5" s="20" t="str">
        <x:v>Boxed Selling USD</x:v>
      </x:c>
      <x:c r="H5" s="20" t="str">
        <x:v>99% New Cost USD</x:v>
      </x:c>
      <x:c r="I5" s="20" t="str">
        <x:v>99% New Profit USD</x:v>
      </x:c>
      <x:c r="J5" s="20" t="str">
        <x:v>99% New Selling USD</x:v>
      </x:c>
      <x:c r="K5" s="20" t="str">
        <x:v>95% New Cost USD</x:v>
      </x:c>
      <x:c r="L5" s="20" t="str">
        <x:v>95% New Profit USD</x:v>
      </x:c>
      <x:c r="M5" s="20" t="str">
        <x:v>95% New Selling USD</x:v>
      </x:c>
    </x:row>
    <x:row r="6">
      <x:c r="A6" s="26" t="str">
        <x:v>Apple</x:v>
      </x:c>
      <x:c r="B6" s="26" t="str">
        <x:v>iPhone 11</x:v>
      </x:c>
      <x:c r="C6" s="26" t="str">
        <x:v>iPhone 11</x:v>
      </x:c>
      <x:c r="D6" s="26" t="str">
        <x:v>64GB</x:v>
      </x:c>
      <x:c r="E6" s="34"/>
      <x:c r="F6" s="34" t="str">
        <x:f>IF(G6="","",G6-E6)</x:f>
      </x:c>
      <x:c r="G6" s="40" t="str">
        <x:f>IF(E6="","",CEILING(E6+VLOOKUP(E6,'Profit Rules'!$A$3:$B$9,2,TRUE),'Profit Rules'!$E$3))</x:f>
      </x:c>
      <x:c r="H6" s="36"/>
      <x:c r="I6" s="36" t="str">
        <x:f>IF(J6="","",J6-H6)</x:f>
      </x:c>
      <x:c r="J6" s="42" t="str">
        <x:f>IF(H6="","",CEILING(H6+VLOOKUP(H6,'Profit Rules'!$A$3:$B$9,2,TRUE),'Profit Rules'!$E$3))</x:f>
      </x:c>
      <x:c r="K6" s="38" t="n">
        <x:v>155</x:v>
      </x:c>
      <x:c r="L6" s="38" t="n">
        <x:f>IF(M6="","",M6-K6)</x:f>
        <x:v>45</x:v>
      </x:c>
      <x:c r="M6" s="44" t="n">
        <x:f>IF(K6="","",CEILING(K6+VLOOKUP(K6,'Profit Rules'!$A$3:$B$9,2,TRUE),'Profit Rules'!$E$3))</x:f>
        <x:v>200</x:v>
      </x:c>
    </x:row>
    <x:row r="7">
      <x:c r="A7" s="26" t="str">
        <x:v>Apple</x:v>
      </x:c>
      <x:c r="B7" s="26" t="str">
        <x:v>iPhone 11</x:v>
      </x:c>
      <x:c r="C7" s="26" t="str">
        <x:v>iPhone 11</x:v>
      </x:c>
      <x:c r="D7" s="26" t="str">
        <x:v>128GB</x:v>
      </x:c>
      <x:c r="E7" s="34"/>
      <x:c r="F7" s="34" t="str">
        <x:f>IF(G7="","",G7-E7)</x:f>
      </x:c>
      <x:c r="G7" s="40" t="str">
        <x:f>IF(E7="","",CEILING(E7+VLOOKUP(E7,'Profit Rules'!$A$3:$B$9,2,TRUE),'Profit Rules'!$E$3))</x:f>
      </x:c>
      <x:c r="H7" s="36" t="n">
        <x:v>202.69</x:v>
      </x:c>
      <x:c r="I7" s="36" t="n">
        <x:f>IF(J7="","",J7-H7)</x:f>
        <x:v>47.31</x:v>
      </x:c>
      <x:c r="J7" s="42" t="n">
        <x:f>IF(H7="","",CEILING(H7+VLOOKUP(H7,'Profit Rules'!$A$3:$B$9,2,TRUE),'Profit Rules'!$E$3))</x:f>
        <x:v>250</x:v>
      </x:c>
      <x:c r="K7" s="38" t="n">
        <x:v>156.54</x:v>
      </x:c>
      <x:c r="L7" s="38" t="n">
        <x:f>IF(M7="","",M7-K7)</x:f>
        <x:v>48.46000000000001</x:v>
      </x:c>
      <x:c r="M7" s="44" t="n">
        <x:f>IF(K7="","",CEILING(K7+VLOOKUP(K7,'Profit Rules'!$A$3:$B$9,2,TRUE),'Profit Rules'!$E$3))</x:f>
        <x:v>205</x:v>
      </x:c>
    </x:row>
    <x:row r="8">
      <x:c r="A8" s="26" t="str">
        <x:v>Apple</x:v>
      </x:c>
      <x:c r="B8" s="26" t="str">
        <x:v>iPhone 11</x:v>
      </x:c>
      <x:c r="C8" s="26" t="str">
        <x:v>iPhone 11</x:v>
      </x:c>
      <x:c r="D8" s="26" t="str">
        <x:v>256GB</x:v>
      </x:c>
      <x:c r="E8" s="34"/>
      <x:c r="F8" s="34" t="str">
        <x:f>IF(G8="","",G8-E8)</x:f>
      </x:c>
      <x:c r="G8" s="40" t="str">
        <x:f>IF(E8="","",CEILING(E8+VLOOKUP(E8,'Profit Rules'!$A$3:$B$9,2,TRUE),'Profit Rules'!$E$3))</x:f>
      </x:c>
      <x:c r="H8" s="36" t="n">
        <x:v>218.08</x:v>
      </x:c>
      <x:c r="I8" s="36" t="n">
        <x:f>IF(J8="","",J8-H8)</x:f>
        <x:v>46.91999999999999</x:v>
      </x:c>
      <x:c r="J8" s="42" t="n">
        <x:f>IF(H8="","",CEILING(H8+VLOOKUP(H8,'Profit Rules'!$A$3:$B$9,2,TRUE),'Profit Rules'!$E$3))</x:f>
        <x:v>265</x:v>
      </x:c>
      <x:c r="K8" s="38"/>
      <x:c r="L8" s="38" t="str">
        <x:f>IF(M8="","",M8-K8)</x:f>
      </x:c>
      <x:c r="M8" s="44" t="str">
        <x:f>IF(K8="","",CEILING(K8+VLOOKUP(K8,'Profit Rules'!$A$3:$B$9,2,TRUE),'Profit Rules'!$E$3))</x:f>
      </x:c>
    </x:row>
    <x:row r="9">
      <x:c r="A9" s="26" t="str">
        <x:v>Apple</x:v>
      </x:c>
      <x:c r="B9" s="26" t="str">
        <x:v>iPhone 11</x:v>
      </x:c>
      <x:c r="C9" s="26" t="str">
        <x:v>iPhone 11 Pro</x:v>
      </x:c>
      <x:c r="D9" s="26" t="str">
        <x:v>64GB</x:v>
      </x:c>
      <x:c r="E9" s="34"/>
      <x:c r="F9" s="34" t="str">
        <x:f>IF(G9="","",G9-E9)</x:f>
      </x:c>
      <x:c r="G9" s="40" t="str">
        <x:f>IF(E9="","",CEILING(E9+VLOOKUP(E9,'Profit Rules'!$A$3:$B$9,2,TRUE),'Profit Rules'!$E$3))</x:f>
      </x:c>
      <x:c r="H9" s="36"/>
      <x:c r="I9" s="36" t="str">
        <x:f>IF(J9="","",J9-H9)</x:f>
      </x:c>
      <x:c r="J9" s="42" t="str">
        <x:f>IF(H9="","",CEILING(H9+VLOOKUP(H9,'Profit Rules'!$A$3:$B$9,2,TRUE),'Profit Rules'!$E$3))</x:f>
      </x:c>
      <x:c r="K9" s="38" t="n">
        <x:v>158.08</x:v>
      </x:c>
      <x:c r="L9" s="38" t="n">
        <x:f>IF(M9="","",M9-K9)</x:f>
        <x:v>46.91999999999999</x:v>
      </x:c>
      <x:c r="M9" s="44" t="n">
        <x:f>IF(K9="","",CEILING(K9+VLOOKUP(K9,'Profit Rules'!$A$3:$B$9,2,TRUE),'Profit Rules'!$E$3))</x:f>
        <x:v>205</x:v>
      </x:c>
    </x:row>
    <x:row r="10">
      <x:c r="A10" s="26" t="str">
        <x:v>Apple</x:v>
      </x:c>
      <x:c r="B10" s="26" t="str">
        <x:v>iPhone 11</x:v>
      </x:c>
      <x:c r="C10" s="26" t="str">
        <x:v>iPhone 11 Pro</x:v>
      </x:c>
      <x:c r="D10" s="26" t="str">
        <x:v>256GB</x:v>
      </x:c>
      <x:c r="E10" s="34"/>
      <x:c r="F10" s="34" t="str">
        <x:f>IF(G10="","",G10-E10)</x:f>
      </x:c>
      <x:c r="G10" s="40" t="str">
        <x:f>IF(E10="","",CEILING(E10+VLOOKUP(E10,'Profit Rules'!$A$3:$B$9,2,TRUE),'Profit Rules'!$E$3))</x:f>
      </x:c>
      <x:c r="H10" s="36"/>
      <x:c r="I10" s="36" t="str">
        <x:f>IF(J10="","",J10-H10)</x:f>
      </x:c>
      <x:c r="J10" s="42" t="str">
        <x:f>IF(H10="","",CEILING(H10+VLOOKUP(H10,'Profit Rules'!$A$3:$B$9,2,TRUE),'Profit Rules'!$E$3))</x:f>
      </x:c>
      <x:c r="K10" s="38" t="n">
        <x:v>185.77</x:v>
      </x:c>
      <x:c r="L10" s="38" t="n">
        <x:f>IF(M10="","",M10-K10)</x:f>
        <x:v>49.22999999999999</x:v>
      </x:c>
      <x:c r="M10" s="44" t="n">
        <x:f>IF(K10="","",CEILING(K10+VLOOKUP(K10,'Profit Rules'!$A$3:$B$9,2,TRUE),'Profit Rules'!$E$3))</x:f>
        <x:v>235</x:v>
      </x:c>
    </x:row>
    <x:row r="11">
      <x:c r="A11" s="26" t="str">
        <x:v>Apple</x:v>
      </x:c>
      <x:c r="B11" s="26" t="str">
        <x:v>iPhone 11</x:v>
      </x:c>
      <x:c r="C11" s="26" t="str">
        <x:v>iPhone 11 Pro Max</x:v>
      </x:c>
      <x:c r="D11" s="26" t="str">
        <x:v>64GB</x:v>
      </x:c>
      <x:c r="E11" s="34"/>
      <x:c r="F11" s="34" t="str">
        <x:f>IF(G11="","",G11-E11)</x:f>
      </x:c>
      <x:c r="G11" s="40" t="str">
        <x:f>IF(E11="","",CEILING(E11+VLOOKUP(E11,'Profit Rules'!$A$3:$B$9,2,TRUE),'Profit Rules'!$E$3))</x:f>
      </x:c>
      <x:c r="H11" s="36"/>
      <x:c r="I11" s="36" t="str">
        <x:f>IF(J11="","",J11-H11)</x:f>
      </x:c>
      <x:c r="J11" s="42" t="str">
        <x:f>IF(H11="","",CEILING(H11+VLOOKUP(H11,'Profit Rules'!$A$3:$B$9,2,TRUE),'Profit Rules'!$E$3))</x:f>
      </x:c>
      <x:c r="K11" s="38" t="n">
        <x:v>167.31</x:v>
      </x:c>
      <x:c r="L11" s="38" t="n">
        <x:f>IF(M11="","",M11-K11)</x:f>
        <x:v>47.69</x:v>
      </x:c>
      <x:c r="M11" s="44" t="n">
        <x:f>IF(K11="","",CEILING(K11+VLOOKUP(K11,'Profit Rules'!$A$3:$B$9,2,TRUE),'Profit Rules'!$E$3))</x:f>
        <x:v>215</x:v>
      </x:c>
    </x:row>
    <x:row r="12">
      <x:c r="A12" s="26" t="str">
        <x:v>Apple</x:v>
      </x:c>
      <x:c r="B12" s="26" t="str">
        <x:v>iPhone 12</x:v>
      </x:c>
      <x:c r="C12" s="26" t="str">
        <x:v>iPhone 12</x:v>
      </x:c>
      <x:c r="D12" s="26" t="str">
        <x:v>128GB</x:v>
      </x:c>
      <x:c r="E12" s="34"/>
      <x:c r="F12" s="34" t="str">
        <x:f>IF(G12="","",G12-E12)</x:f>
      </x:c>
      <x:c r="G12" s="40" t="str">
        <x:f>IF(E12="","",CEILING(E12+VLOOKUP(E12,'Profit Rules'!$A$3:$B$9,2,TRUE),'Profit Rules'!$E$3))</x:f>
      </x:c>
      <x:c r="H12" s="36" t="n">
        <x:v>201.15</x:v>
      </x:c>
      <x:c r="I12" s="36" t="n">
        <x:f>IF(J12="","",J12-H12)</x:f>
        <x:v>48.849999999999994</x:v>
      </x:c>
      <x:c r="J12" s="42" t="n">
        <x:f>IF(H12="","",CEILING(H12+VLOOKUP(H12,'Profit Rules'!$A$3:$B$9,2,TRUE),'Profit Rules'!$E$3))</x:f>
        <x:v>250</x:v>
      </x:c>
      <x:c r="K12" s="38" t="n">
        <x:v>163.92</x:v>
      </x:c>
      <x:c r="L12" s="38" t="n">
        <x:f>IF(M12="","",M12-K12)</x:f>
        <x:v>46.08000000000001</x:v>
      </x:c>
      <x:c r="M12" s="44" t="n">
        <x:f>IF(K12="","",CEILING(K12+VLOOKUP(K12,'Profit Rules'!$A$3:$B$9,2,TRUE),'Profit Rules'!$E$3))</x:f>
        <x:v>210</x:v>
      </x:c>
    </x:row>
    <x:row r="13">
      <x:c r="A13" s="26" t="str">
        <x:v>Apple</x:v>
      </x:c>
      <x:c r="B13" s="26" t="str">
        <x:v>iPhone 12</x:v>
      </x:c>
      <x:c r="C13" s="26" t="str">
        <x:v>iPhone 12</x:v>
      </x:c>
      <x:c r="D13" s="26" t="str">
        <x:v>256GB</x:v>
      </x:c>
      <x:c r="E13" s="34"/>
      <x:c r="F13" s="34" t="str">
        <x:f>IF(G13="","",G13-E13)</x:f>
      </x:c>
      <x:c r="G13" s="40" t="str">
        <x:f>IF(E13="","",CEILING(E13+VLOOKUP(E13,'Profit Rules'!$A$3:$B$9,2,TRUE),'Profit Rules'!$E$3))</x:f>
      </x:c>
      <x:c r="H13" s="36" t="n">
        <x:v>221.15</x:v>
      </x:c>
      <x:c r="I13" s="36" t="n">
        <x:f>IF(J13="","",J13-H13)</x:f>
        <x:v>48.849999999999994</x:v>
      </x:c>
      <x:c r="J13" s="42" t="n">
        <x:f>IF(H13="","",CEILING(H13+VLOOKUP(H13,'Profit Rules'!$A$3:$B$9,2,TRUE),'Profit Rules'!$E$3))</x:f>
        <x:v>270</x:v>
      </x:c>
      <x:c r="K13" s="38" t="n">
        <x:v>196.54</x:v>
      </x:c>
      <x:c r="L13" s="38" t="n">
        <x:f>IF(M13="","",M13-K13)</x:f>
        <x:v>48.46000000000001</x:v>
      </x:c>
      <x:c r="M13" s="44" t="n">
        <x:f>IF(K13="","",CEILING(K13+VLOOKUP(K13,'Profit Rules'!$A$3:$B$9,2,TRUE),'Profit Rules'!$E$3))</x:f>
        <x:v>245</x:v>
      </x:c>
    </x:row>
    <x:row r="14">
      <x:c r="A14" s="26" t="str">
        <x:v>Apple</x:v>
      </x:c>
      <x:c r="B14" s="26" t="str">
        <x:v>iPhone 12</x:v>
      </x:c>
      <x:c r="C14" s="26" t="str">
        <x:v>iPhone 12 Pro</x:v>
      </x:c>
      <x:c r="D14" s="26" t="str">
        <x:v>128GB</x:v>
      </x:c>
      <x:c r="E14" s="34"/>
      <x:c r="F14" s="34" t="str">
        <x:f>IF(G14="","",G14-E14)</x:f>
      </x:c>
      <x:c r="G14" s="40" t="str">
        <x:f>IF(E14="","",CEILING(E14+VLOOKUP(E14,'Profit Rules'!$A$3:$B$9,2,TRUE),'Profit Rules'!$E$3))</x:f>
      </x:c>
      <x:c r="H14" s="36" t="n">
        <x:v>219.62</x:v>
      </x:c>
      <x:c r="I14" s="36" t="n">
        <x:f>IF(J14="","",J14-H14)</x:f>
        <x:v>45.379999999999995</x:v>
      </x:c>
      <x:c r="J14" s="42" t="n">
        <x:f>IF(H14="","",CEILING(H14+VLOOKUP(H14,'Profit Rules'!$A$3:$B$9,2,TRUE),'Profit Rules'!$E$3))</x:f>
        <x:v>265</x:v>
      </x:c>
      <x:c r="K14" s="38" t="n">
        <x:v>208.85</x:v>
      </x:c>
      <x:c r="L14" s="38" t="n">
        <x:f>IF(M14="","",M14-K14)</x:f>
        <x:v>46.150000000000006</x:v>
      </x:c>
      <x:c r="M14" s="44" t="n">
        <x:f>IF(K14="","",CEILING(K14+VLOOKUP(K14,'Profit Rules'!$A$3:$B$9,2,TRUE),'Profit Rules'!$E$3))</x:f>
        <x:v>255</x:v>
      </x:c>
    </x:row>
    <x:row r="15">
      <x:c r="A15" s="26" t="str">
        <x:v>Apple</x:v>
      </x:c>
      <x:c r="B15" s="26" t="str">
        <x:v>iPhone 12</x:v>
      </x:c>
      <x:c r="C15" s="26" t="str">
        <x:v>iPhone 12 Pro</x:v>
      </x:c>
      <x:c r="D15" s="26" t="str">
        <x:v>256GB</x:v>
      </x:c>
      <x:c r="E15" s="34"/>
      <x:c r="F15" s="34" t="str">
        <x:f>IF(G15="","",G15-E15)</x:f>
      </x:c>
      <x:c r="G15" s="40" t="str">
        <x:f>IF(E15="","",CEILING(E15+VLOOKUP(E15,'Profit Rules'!$A$3:$B$9,2,TRUE),'Profit Rules'!$E$3))</x:f>
      </x:c>
      <x:c r="H15" s="36" t="n">
        <x:v>241.15</x:v>
      </x:c>
      <x:c r="I15" s="36" t="n">
        <x:f>IF(J15="","",J15-H15)</x:f>
        <x:v>48.849999999999994</x:v>
      </x:c>
      <x:c r="J15" s="42" t="n">
        <x:f>IF(H15="","",CEILING(H15+VLOOKUP(H15,'Profit Rules'!$A$3:$B$9,2,TRUE),'Profit Rules'!$E$3))</x:f>
        <x:v>290</x:v>
      </x:c>
      <x:c r="K15" s="38" t="n">
        <x:v>230.38</x:v>
      </x:c>
      <x:c r="L15" s="38" t="n">
        <x:f>IF(M15="","",M15-K15)</x:f>
        <x:v>49.620000000000005</x:v>
      </x:c>
      <x:c r="M15" s="44" t="n">
        <x:f>IF(K15="","",CEILING(K15+VLOOKUP(K15,'Profit Rules'!$A$3:$B$9,2,TRUE),'Profit Rules'!$E$3))</x:f>
        <x:v>280</x:v>
      </x:c>
    </x:row>
    <x:row r="16">
      <x:c r="A16" s="26" t="str">
        <x:v>Apple</x:v>
      </x:c>
      <x:c r="B16" s="26" t="str">
        <x:v>iPhone 12</x:v>
      </x:c>
      <x:c r="C16" s="26" t="str">
        <x:v>iPhone 12 Pro Max</x:v>
      </x:c>
      <x:c r="D16" s="26" t="str">
        <x:v>128GB</x:v>
      </x:c>
      <x:c r="E16" s="34"/>
      <x:c r="F16" s="34" t="str">
        <x:f>IF(G16="","",G16-E16)</x:f>
      </x:c>
      <x:c r="G16" s="40" t="str">
        <x:f>IF(E16="","",CEILING(E16+VLOOKUP(E16,'Profit Rules'!$A$3:$B$9,2,TRUE),'Profit Rules'!$E$3))</x:f>
      </x:c>
      <x:c r="H16" s="36" t="n">
        <x:v>250.38</x:v>
      </x:c>
      <x:c r="I16" s="36" t="n">
        <x:f>IF(J16="","",J16-H16)</x:f>
        <x:v>64.62</x:v>
      </x:c>
      <x:c r="J16" s="42" t="n">
        <x:f>IF(H16="","",CEILING(H16+VLOOKUP(H16,'Profit Rules'!$A$3:$B$9,2,TRUE),'Profit Rules'!$E$3))</x:f>
        <x:v>315</x:v>
      </x:c>
      <x:c r="K16" s="38" t="n">
        <x:v>239.62</x:v>
      </x:c>
      <x:c r="L16" s="38" t="n">
        <x:f>IF(M16="","",M16-K16)</x:f>
        <x:v>45.379999999999995</x:v>
      </x:c>
      <x:c r="M16" s="44" t="n">
        <x:f>IF(K16="","",CEILING(K16+VLOOKUP(K16,'Profit Rules'!$A$3:$B$9,2,TRUE),'Profit Rules'!$E$3))</x:f>
        <x:v>285</x:v>
      </x:c>
    </x:row>
    <x:row r="17">
      <x:c r="A17" s="26" t="str">
        <x:v>Apple</x:v>
      </x:c>
      <x:c r="B17" s="26" t="str">
        <x:v>iPhone 12</x:v>
      </x:c>
      <x:c r="C17" s="26" t="str">
        <x:v>iPhone 12 Pro Max</x:v>
      </x:c>
      <x:c r="D17" s="26" t="str">
        <x:v>256GB</x:v>
      </x:c>
      <x:c r="E17" s="34"/>
      <x:c r="F17" s="34" t="str">
        <x:f>IF(G17="","",G17-E17)</x:f>
      </x:c>
      <x:c r="G17" s="40" t="str">
        <x:f>IF(E17="","",CEILING(E17+VLOOKUP(E17,'Profit Rules'!$A$3:$B$9,2,TRUE),'Profit Rules'!$E$3))</x:f>
      </x:c>
      <x:c r="H17" s="36" t="n">
        <x:v>284.23</x:v>
      </x:c>
      <x:c r="I17" s="36" t="n">
        <x:f>IF(J17="","",J17-H17)</x:f>
        <x:v>60.76999999999998</x:v>
      </x:c>
      <x:c r="J17" s="42" t="n">
        <x:f>IF(H17="","",CEILING(H17+VLOOKUP(H17,'Profit Rules'!$A$3:$B$9,2,TRUE),'Profit Rules'!$E$3))</x:f>
        <x:v>345</x:v>
      </x:c>
      <x:c r="K17" s="38" t="n">
        <x:v>273.46</x:v>
      </x:c>
      <x:c r="L17" s="38" t="n">
        <x:f>IF(M17="","",M17-K17)</x:f>
        <x:v>61.54000000000002</x:v>
      </x:c>
      <x:c r="M17" s="44" t="n">
        <x:f>IF(K17="","",CEILING(K17+VLOOKUP(K17,'Profit Rules'!$A$3:$B$9,2,TRUE),'Profit Rules'!$E$3))</x:f>
        <x:v>335</x:v>
      </x:c>
    </x:row>
    <x:row r="18">
      <x:c r="A18" s="26" t="str">
        <x:v>Apple</x:v>
      </x:c>
      <x:c r="B18" s="26" t="str">
        <x:v>iPhone 13</x:v>
      </x:c>
      <x:c r="C18" s="26" t="str">
        <x:v>iPhone 13</x:v>
      </x:c>
      <x:c r="D18" s="26" t="str">
        <x:v>128GB</x:v>
      </x:c>
      <x:c r="E18" s="34"/>
      <x:c r="F18" s="34" t="str">
        <x:f>IF(G18="","",G18-E18)</x:f>
      </x:c>
      <x:c r="G18" s="40" t="str">
        <x:f>IF(E18="","",CEILING(E18+VLOOKUP(E18,'Profit Rules'!$A$3:$B$9,2,TRUE),'Profit Rules'!$E$3))</x:f>
      </x:c>
      <x:c r="H18" s="36" t="n">
        <x:v>265.77</x:v>
      </x:c>
      <x:c r="I18" s="36" t="n">
        <x:f>IF(J18="","",J18-H18)</x:f>
        <x:v>64.23000000000002</x:v>
      </x:c>
      <x:c r="J18" s="42" t="n">
        <x:f>IF(H18="","",CEILING(H18+VLOOKUP(H18,'Profit Rules'!$A$3:$B$9,2,TRUE),'Profit Rules'!$E$3))</x:f>
        <x:v>330</x:v>
      </x:c>
      <x:c r="K18" s="38" t="n">
        <x:v>242.69</x:v>
      </x:c>
      <x:c r="L18" s="38" t="n">
        <x:f>IF(M18="","",M18-K18)</x:f>
        <x:v>47.31</x:v>
      </x:c>
      <x:c r="M18" s="44" t="n">
        <x:f>IF(K18="","",CEILING(K18+VLOOKUP(K18,'Profit Rules'!$A$3:$B$9,2,TRUE),'Profit Rules'!$E$3))</x:f>
        <x:v>290</x:v>
      </x:c>
    </x:row>
    <x:row r="19">
      <x:c r="A19" s="26" t="str">
        <x:v>Apple</x:v>
      </x:c>
      <x:c r="B19" s="26" t="str">
        <x:v>iPhone 13</x:v>
      </x:c>
      <x:c r="C19" s="26" t="str">
        <x:v>iPhone 13</x:v>
      </x:c>
      <x:c r="D19" s="26" t="str">
        <x:v>256GB</x:v>
      </x:c>
      <x:c r="E19" s="34"/>
      <x:c r="F19" s="34" t="str">
        <x:f>IF(G19="","",G19-E19)</x:f>
      </x:c>
      <x:c r="G19" s="40" t="str">
        <x:f>IF(E19="","",CEILING(E19+VLOOKUP(E19,'Profit Rules'!$A$3:$B$9,2,TRUE),'Profit Rules'!$E$3))</x:f>
      </x:c>
      <x:c r="H19" s="36" t="n">
        <x:v>291.92</x:v>
      </x:c>
      <x:c r="I19" s="36" t="n">
        <x:f>IF(J19="","",J19-H19)</x:f>
        <x:v>63.079999999999984</x:v>
      </x:c>
      <x:c r="J19" s="42" t="n">
        <x:f>IF(H19="","",CEILING(H19+VLOOKUP(H19,'Profit Rules'!$A$3:$B$9,2,TRUE),'Profit Rules'!$E$3))</x:f>
        <x:v>355</x:v>
      </x:c>
      <x:c r="K19" s="38" t="n">
        <x:v>268.85</x:v>
      </x:c>
      <x:c r="L19" s="38" t="n">
        <x:f>IF(M19="","",M19-K19)</x:f>
        <x:v>61.14999999999998</x:v>
      </x:c>
      <x:c r="M19" s="44" t="n">
        <x:f>IF(K19="","",CEILING(K19+VLOOKUP(K19,'Profit Rules'!$A$3:$B$9,2,TRUE),'Profit Rules'!$E$3))</x:f>
        <x:v>330</x:v>
      </x:c>
    </x:row>
    <x:row r="20">
      <x:c r="A20" s="26" t="str">
        <x:v>Apple</x:v>
      </x:c>
      <x:c r="B20" s="26" t="str">
        <x:v>iPhone 13</x:v>
      </x:c>
      <x:c r="C20" s="26" t="str">
        <x:v>iPhone 13 Pro</x:v>
      </x:c>
      <x:c r="D20" s="26" t="str">
        <x:v>128GB</x:v>
      </x:c>
      <x:c r="E20" s="34"/>
      <x:c r="F20" s="34" t="str">
        <x:f>IF(G20="","",G20-E20)</x:f>
      </x:c>
      <x:c r="G20" s="40" t="str">
        <x:f>IF(E20="","",CEILING(E20+VLOOKUP(E20,'Profit Rules'!$A$3:$B$9,2,TRUE),'Profit Rules'!$E$3))</x:f>
      </x:c>
      <x:c r="H20" s="36" t="n">
        <x:v>316.54</x:v>
      </x:c>
      <x:c r="I20" s="36" t="n">
        <x:f>IF(J20="","",J20-H20)</x:f>
        <x:v>63.45999999999998</x:v>
      </x:c>
      <x:c r="J20" s="42" t="n">
        <x:f>IF(H20="","",CEILING(H20+VLOOKUP(H20,'Profit Rules'!$A$3:$B$9,2,TRUE),'Profit Rules'!$E$3))</x:f>
        <x:v>380</x:v>
      </x:c>
      <x:c r="K20" s="38" t="n">
        <x:v>307.31</x:v>
      </x:c>
      <x:c r="L20" s="38" t="n">
        <x:f>IF(M20="","",M20-K20)</x:f>
        <x:v>62.69</x:v>
      </x:c>
      <x:c r="M20" s="44" t="n">
        <x:f>IF(K20="","",CEILING(K20+VLOOKUP(K20,'Profit Rules'!$A$3:$B$9,2,TRUE),'Profit Rules'!$E$3))</x:f>
        <x:v>370</x:v>
      </x:c>
    </x:row>
    <x:row r="21">
      <x:c r="A21" s="26" t="str">
        <x:v>Apple</x:v>
      </x:c>
      <x:c r="B21" s="26" t="str">
        <x:v>iPhone 13</x:v>
      </x:c>
      <x:c r="C21" s="26" t="str">
        <x:v>iPhone 13 Pro</x:v>
      </x:c>
      <x:c r="D21" s="26" t="str">
        <x:v>256GB</x:v>
      </x:c>
      <x:c r="E21" s="34"/>
      <x:c r="F21" s="34" t="str">
        <x:f>IF(G21="","",G21-E21)</x:f>
      </x:c>
      <x:c r="G21" s="40" t="str">
        <x:f>IF(E21="","",CEILING(E21+VLOOKUP(E21,'Profit Rules'!$A$3:$B$9,2,TRUE),'Profit Rules'!$E$3))</x:f>
      </x:c>
      <x:c r="H21" s="36" t="n">
        <x:v>350.38</x:v>
      </x:c>
      <x:c r="I21" s="36" t="n">
        <x:f>IF(J21="","",J21-H21)</x:f>
        <x:v>64.62</x:v>
      </x:c>
      <x:c r="J21" s="42" t="n">
        <x:f>IF(H21="","",CEILING(H21+VLOOKUP(H21,'Profit Rules'!$A$3:$B$9,2,TRUE),'Profit Rules'!$E$3))</x:f>
        <x:v>415</x:v>
      </x:c>
      <x:c r="K21" s="38" t="n">
        <x:v>341.15</x:v>
      </x:c>
      <x:c r="L21" s="38" t="n">
        <x:f>IF(M21="","",M21-K21)</x:f>
        <x:v>63.85000000000002</x:v>
      </x:c>
      <x:c r="M21" s="44" t="n">
        <x:f>IF(K21="","",CEILING(K21+VLOOKUP(K21,'Profit Rules'!$A$3:$B$9,2,TRUE),'Profit Rules'!$E$3))</x:f>
        <x:v>405</x:v>
      </x:c>
    </x:row>
    <x:row r="22">
      <x:c r="A22" s="26" t="str">
        <x:v>Apple</x:v>
      </x:c>
      <x:c r="B22" s="26" t="str">
        <x:v>iPhone 13</x:v>
      </x:c>
      <x:c r="C22" s="26" t="str">
        <x:v>iPhone 13 Pro Max</x:v>
      </x:c>
      <x:c r="D22" s="26" t="str">
        <x:v>128GB</x:v>
      </x:c>
      <x:c r="E22" s="34"/>
      <x:c r="F22" s="34" t="str">
        <x:f>IF(G22="","",G22-E22)</x:f>
      </x:c>
      <x:c r="G22" s="40" t="str">
        <x:f>IF(E22="","",CEILING(E22+VLOOKUP(E22,'Profit Rules'!$A$3:$B$9,2,TRUE),'Profit Rules'!$E$3))</x:f>
      </x:c>
      <x:c r="H22" s="36" t="n">
        <x:v>335</x:v>
      </x:c>
      <x:c r="I22" s="36" t="n">
        <x:f>IF(J22="","",J22-H22)</x:f>
        <x:v>60</x:v>
      </x:c>
      <x:c r="J22" s="42" t="n">
        <x:f>IF(H22="","",CEILING(H22+VLOOKUP(H22,'Profit Rules'!$A$3:$B$9,2,TRUE),'Profit Rules'!$E$3))</x:f>
        <x:v>395</x:v>
      </x:c>
      <x:c r="K22" s="38" t="n">
        <x:v>325.77</x:v>
      </x:c>
      <x:c r="L22" s="38" t="n">
        <x:f>IF(M22="","",M22-K22)</x:f>
        <x:v>64.23000000000002</x:v>
      </x:c>
      <x:c r="M22" s="44" t="n">
        <x:f>IF(K22="","",CEILING(K22+VLOOKUP(K22,'Profit Rules'!$A$3:$B$9,2,TRUE),'Profit Rules'!$E$3))</x:f>
        <x:v>390</x:v>
      </x:c>
    </x:row>
    <x:row r="23">
      <x:c r="A23" s="26" t="str">
        <x:v>Apple</x:v>
      </x:c>
      <x:c r="B23" s="26" t="str">
        <x:v>iPhone 13</x:v>
      </x:c>
      <x:c r="C23" s="26" t="str">
        <x:v>iPhone 13 Pro Max</x:v>
      </x:c>
      <x:c r="D23" s="26" t="str">
        <x:v>256GB</x:v>
      </x:c>
      <x:c r="E23" s="34"/>
      <x:c r="F23" s="34" t="str">
        <x:f>IF(G23="","",G23-E23)</x:f>
      </x:c>
      <x:c r="G23" s="40" t="str">
        <x:f>IF(E23="","",CEILING(E23+VLOOKUP(E23,'Profit Rules'!$A$3:$B$9,2,TRUE),'Profit Rules'!$E$3))</x:f>
      </x:c>
      <x:c r="H23" s="36" t="n">
        <x:v>393.46</x:v>
      </x:c>
      <x:c r="I23" s="36" t="n">
        <x:f>IF(J23="","",J23-H23)</x:f>
        <x:v>61.54000000000002</x:v>
      </x:c>
      <x:c r="J23" s="42" t="n">
        <x:f>IF(H23="","",CEILING(H23+VLOOKUP(H23,'Profit Rules'!$A$3:$B$9,2,TRUE),'Profit Rules'!$E$3))</x:f>
        <x:v>455</x:v>
      </x:c>
      <x:c r="K23" s="38" t="n">
        <x:v>384.23</x:v>
      </x:c>
      <x:c r="L23" s="38" t="n">
        <x:f>IF(M23="","",M23-K23)</x:f>
        <x:v>60.76999999999998</x:v>
      </x:c>
      <x:c r="M23" s="44" t="n">
        <x:f>IF(K23="","",CEILING(K23+VLOOKUP(K23,'Profit Rules'!$A$3:$B$9,2,TRUE),'Profit Rules'!$E$3))</x:f>
        <x:v>445</x:v>
      </x:c>
    </x:row>
    <x:row r="24">
      <x:c r="A24" s="26" t="str">
        <x:v>Apple</x:v>
      </x:c>
      <x:c r="B24" s="26" t="str">
        <x:v>iPhone 14</x:v>
      </x:c>
      <x:c r="C24" s="26" t="str">
        <x:v>iPhone 14</x:v>
      </x:c>
      <x:c r="D24" s="26" t="str">
        <x:v>128GB</x:v>
      </x:c>
      <x:c r="E24" s="34"/>
      <x:c r="F24" s="34" t="str">
        <x:f>IF(G24="","",G24-E24)</x:f>
      </x:c>
      <x:c r="G24" s="40" t="str">
        <x:f>IF(E24="","",CEILING(E24+VLOOKUP(E24,'Profit Rules'!$A$3:$B$9,2,TRUE),'Profit Rules'!$E$3))</x:f>
      </x:c>
      <x:c r="H24" s="36" t="n">
        <x:v>315</x:v>
      </x:c>
      <x:c r="I24" s="36" t="n">
        <x:f>IF(J24="","",J24-H24)</x:f>
        <x:v>60</x:v>
      </x:c>
      <x:c r="J24" s="42" t="n">
        <x:f>IF(H24="","",CEILING(H24+VLOOKUP(H24,'Profit Rules'!$A$3:$B$9,2,TRUE),'Profit Rules'!$E$3))</x:f>
        <x:v>375</x:v>
      </x:c>
      <x:c r="K24" s="38" t="n">
        <x:v>307.31</x:v>
      </x:c>
      <x:c r="L24" s="38" t="n">
        <x:f>IF(M24="","",M24-K24)</x:f>
        <x:v>62.69</x:v>
      </x:c>
      <x:c r="M24" s="44" t="n">
        <x:f>IF(K24="","",CEILING(K24+VLOOKUP(K24,'Profit Rules'!$A$3:$B$9,2,TRUE),'Profit Rules'!$E$3))</x:f>
        <x:v>370</x:v>
      </x:c>
    </x:row>
    <x:row r="25">
      <x:c r="A25" s="26" t="str">
        <x:v>Apple</x:v>
      </x:c>
      <x:c r="B25" s="26" t="str">
        <x:v>iPhone 14</x:v>
      </x:c>
      <x:c r="C25" s="26" t="str">
        <x:v>iPhone 14</x:v>
      </x:c>
      <x:c r="D25" s="26" t="str">
        <x:v>256GB</x:v>
      </x:c>
      <x:c r="E25" s="34"/>
      <x:c r="F25" s="34" t="str">
        <x:f>IF(G25="","",G25-E25)</x:f>
      </x:c>
      <x:c r="G25" s="40" t="str">
        <x:f>IF(E25="","",CEILING(E25+VLOOKUP(E25,'Profit Rules'!$A$3:$B$9,2,TRUE),'Profit Rules'!$E$3))</x:f>
      </x:c>
      <x:c r="H25" s="36" t="n">
        <x:v>336.54</x:v>
      </x:c>
      <x:c r="I25" s="36" t="n">
        <x:f>IF(J25="","",J25-H25)</x:f>
        <x:v>63.45999999999998</x:v>
      </x:c>
      <x:c r="J25" s="42" t="n">
        <x:f>IF(H25="","",CEILING(H25+VLOOKUP(H25,'Profit Rules'!$A$3:$B$9,2,TRUE),'Profit Rules'!$E$3))</x:f>
        <x:v>400</x:v>
      </x:c>
      <x:c r="K25" s="38" t="n">
        <x:v>328.85</x:v>
      </x:c>
      <x:c r="L25" s="38" t="n">
        <x:f>IF(M25="","",M25-K25)</x:f>
        <x:v>61.14999999999998</x:v>
      </x:c>
      <x:c r="M25" s="44" t="n">
        <x:f>IF(K25="","",CEILING(K25+VLOOKUP(K25,'Profit Rules'!$A$3:$B$9,2,TRUE),'Profit Rules'!$E$3))</x:f>
        <x:v>390</x:v>
      </x:c>
    </x:row>
    <x:row r="26">
      <x:c r="A26" s="26" t="str">
        <x:v>Apple</x:v>
      </x:c>
      <x:c r="B26" s="26" t="str">
        <x:v>iPhone 14</x:v>
      </x:c>
      <x:c r="C26" s="26" t="str">
        <x:v>iPhone 14 Pro</x:v>
      </x:c>
      <x:c r="D26" s="26" t="str">
        <x:v>128GB</x:v>
      </x:c>
      <x:c r="E26" s="34"/>
      <x:c r="F26" s="34" t="str">
        <x:f>IF(G26="","",G26-E26)</x:f>
      </x:c>
      <x:c r="G26" s="40" t="str">
        <x:f>IF(E26="","",CEILING(E26+VLOOKUP(E26,'Profit Rules'!$A$3:$B$9,2,TRUE),'Profit Rules'!$E$3))</x:f>
      </x:c>
      <x:c r="H26" s="36" t="n">
        <x:v>424.23</x:v>
      </x:c>
      <x:c r="I26" s="36" t="n">
        <x:f>IF(J26="","",J26-H26)</x:f>
        <x:v>80.76999999999998</x:v>
      </x:c>
      <x:c r="J26" s="42" t="n">
        <x:f>IF(H26="","",CEILING(H26+VLOOKUP(H26,'Profit Rules'!$A$3:$B$9,2,TRUE),'Profit Rules'!$E$3))</x:f>
        <x:v>505</x:v>
      </x:c>
      <x:c r="K26" s="38" t="n">
        <x:v>405.77</x:v>
      </x:c>
      <x:c r="L26" s="38" t="n">
        <x:f>IF(M26="","",M26-K26)</x:f>
        <x:v>84.23000000000002</x:v>
      </x:c>
      <x:c r="M26" s="44" t="n">
        <x:f>IF(K26="","",CEILING(K26+VLOOKUP(K26,'Profit Rules'!$A$3:$B$9,2,TRUE),'Profit Rules'!$E$3))</x:f>
        <x:v>490</x:v>
      </x:c>
    </x:row>
    <x:row r="27">
      <x:c r="A27" s="26" t="str">
        <x:v>Apple</x:v>
      </x:c>
      <x:c r="B27" s="26" t="str">
        <x:v>iPhone 14</x:v>
      </x:c>
      <x:c r="C27" s="26" t="str">
        <x:v>iPhone 14 Pro</x:v>
      </x:c>
      <x:c r="D27" s="26" t="str">
        <x:v>256GB</x:v>
      </x:c>
      <x:c r="E27" s="34"/>
      <x:c r="F27" s="34" t="str">
        <x:f>IF(G27="","",G27-E27)</x:f>
      </x:c>
      <x:c r="G27" s="40" t="str">
        <x:f>IF(E27="","",CEILING(E27+VLOOKUP(E27,'Profit Rules'!$A$3:$B$9,2,TRUE),'Profit Rules'!$E$3))</x:f>
      </x:c>
      <x:c r="H27" s="36" t="n">
        <x:v>490.38</x:v>
      </x:c>
      <x:c r="I27" s="36" t="n">
        <x:f>IF(J27="","",J27-H27)</x:f>
        <x:v>84.62</x:v>
      </x:c>
      <x:c r="J27" s="42" t="n">
        <x:f>IF(H27="","",CEILING(H27+VLOOKUP(H27,'Profit Rules'!$A$3:$B$9,2,TRUE),'Profit Rules'!$E$3))</x:f>
        <x:v>575</x:v>
      </x:c>
      <x:c r="K27" s="38" t="n">
        <x:v>471.92</x:v>
      </x:c>
      <x:c r="L27" s="38" t="n">
        <x:f>IF(M27="","",M27-K27)</x:f>
        <x:v>83.07999999999998</x:v>
      </x:c>
      <x:c r="M27" s="44" t="n">
        <x:f>IF(K27="","",CEILING(K27+VLOOKUP(K27,'Profit Rules'!$A$3:$B$9,2,TRUE),'Profit Rules'!$E$3))</x:f>
        <x:v>555</x:v>
      </x:c>
    </x:row>
    <x:row r="28">
      <x:c r="A28" s="26" t="str">
        <x:v>Apple</x:v>
      </x:c>
      <x:c r="B28" s="26" t="str">
        <x:v>iPhone 14</x:v>
      </x:c>
      <x:c r="C28" s="26" t="str">
        <x:v>iPhone 14 Pro Max</x:v>
      </x:c>
      <x:c r="D28" s="26" t="str">
        <x:v>128GB</x:v>
      </x:c>
      <x:c r="E28" s="34"/>
      <x:c r="F28" s="34" t="str">
        <x:f>IF(G28="","",G28-E28)</x:f>
      </x:c>
      <x:c r="G28" s="40" t="str">
        <x:f>IF(E28="","",CEILING(E28+VLOOKUP(E28,'Profit Rules'!$A$3:$B$9,2,TRUE),'Profit Rules'!$E$3))</x:f>
      </x:c>
      <x:c r="H28" s="36" t="n">
        <x:v>464.23</x:v>
      </x:c>
      <x:c r="I28" s="36" t="n">
        <x:f>IF(J28="","",J28-H28)</x:f>
        <x:v>80.76999999999998</x:v>
      </x:c>
      <x:c r="J28" s="42" t="n">
        <x:f>IF(H28="","",CEILING(H28+VLOOKUP(H28,'Profit Rules'!$A$3:$B$9,2,TRUE),'Profit Rules'!$E$3))</x:f>
        <x:v>545</x:v>
      </x:c>
      <x:c r="K28" s="38" t="n">
        <x:v>445.77</x:v>
      </x:c>
      <x:c r="L28" s="38" t="n">
        <x:f>IF(M28="","",M28-K28)</x:f>
        <x:v>84.23000000000002</x:v>
      </x:c>
      <x:c r="M28" s="44" t="n">
        <x:f>IF(K28="","",CEILING(K28+VLOOKUP(K28,'Profit Rules'!$A$3:$B$9,2,TRUE),'Profit Rules'!$E$3))</x:f>
        <x:v>530</x:v>
      </x:c>
    </x:row>
    <x:row r="29">
      <x:c r="A29" s="26" t="str">
        <x:v>Apple</x:v>
      </x:c>
      <x:c r="B29" s="26" t="str">
        <x:v>iPhone 14</x:v>
      </x:c>
      <x:c r="C29" s="26" t="str">
        <x:v>iPhone 14 Pro Max</x:v>
      </x:c>
      <x:c r="D29" s="26" t="str">
        <x:v>256GB</x:v>
      </x:c>
      <x:c r="E29" s="34"/>
      <x:c r="F29" s="34" t="str">
        <x:f>IF(G29="","",G29-E29)</x:f>
      </x:c>
      <x:c r="G29" s="40" t="str">
        <x:f>IF(E29="","",CEILING(E29+VLOOKUP(E29,'Profit Rules'!$A$3:$B$9,2,TRUE),'Profit Rules'!$E$3))</x:f>
      </x:c>
      <x:c r="H29" s="36" t="n">
        <x:v>533.46</x:v>
      </x:c>
      <x:c r="I29" s="36" t="n">
        <x:f>IF(J29="","",J29-H29)</x:f>
        <x:v>81.53999999999996</x:v>
      </x:c>
      <x:c r="J29" s="42" t="n">
        <x:f>IF(H29="","",CEILING(H29+VLOOKUP(H29,'Profit Rules'!$A$3:$B$9,2,TRUE),'Profit Rules'!$E$3))</x:f>
        <x:v>615</x:v>
      </x:c>
      <x:c r="K29" s="38" t="n">
        <x:v>515</x:v>
      </x:c>
      <x:c r="L29" s="38" t="n">
        <x:f>IF(M29="","",M29-K29)</x:f>
        <x:v>80</x:v>
      </x:c>
      <x:c r="M29" s="44" t="n">
        <x:f>IF(K29="","",CEILING(K29+VLOOKUP(K29,'Profit Rules'!$A$3:$B$9,2,TRUE),'Profit Rules'!$E$3))</x:f>
        <x:v>595</x:v>
      </x:c>
    </x:row>
    <x:row r="30">
      <x:c r="A30" s="26" t="str">
        <x:v>Apple</x:v>
      </x:c>
      <x:c r="B30" s="26" t="str">
        <x:v>iPhone 15</x:v>
      </x:c>
      <x:c r="C30" s="26" t="str">
        <x:v>iPhone 15</x:v>
      </x:c>
      <x:c r="D30" s="26" t="str">
        <x:v>128GB</x:v>
      </x:c>
      <x:c r="E30" s="34"/>
      <x:c r="F30" s="34" t="str">
        <x:f>IF(G30="","",G30-E30)</x:f>
      </x:c>
      <x:c r="G30" s="40" t="str">
        <x:f>IF(E30="","",CEILING(E30+VLOOKUP(E30,'Profit Rules'!$A$3:$B$9,2,TRUE),'Profit Rules'!$E$3))</x:f>
      </x:c>
      <x:c r="H30" s="36" t="n">
        <x:v>393.46</x:v>
      </x:c>
      <x:c r="I30" s="36" t="n">
        <x:f>IF(J30="","",J30-H30)</x:f>
        <x:v>61.54000000000002</x:v>
      </x:c>
      <x:c r="J30" s="42" t="n">
        <x:f>IF(H30="","",CEILING(H30+VLOOKUP(H30,'Profit Rules'!$A$3:$B$9,2,TRUE),'Profit Rules'!$E$3))</x:f>
        <x:v>455</x:v>
      </x:c>
      <x:c r="K30" s="38" t="n">
        <x:v>375</x:v>
      </x:c>
      <x:c r="L30" s="38" t="n">
        <x:f>IF(M30="","",M30-K30)</x:f>
        <x:v>60</x:v>
      </x:c>
      <x:c r="M30" s="44" t="n">
        <x:f>IF(K30="","",CEILING(K30+VLOOKUP(K30,'Profit Rules'!$A$3:$B$9,2,TRUE),'Profit Rules'!$E$3))</x:f>
        <x:v>435</x:v>
      </x:c>
    </x:row>
    <x:row r="31">
      <x:c r="A31" s="26" t="str">
        <x:v>Apple</x:v>
      </x:c>
      <x:c r="B31" s="26" t="str">
        <x:v>iPhone 15</x:v>
      </x:c>
      <x:c r="C31" s="26" t="str">
        <x:v>iPhone 15</x:v>
      </x:c>
      <x:c r="D31" s="26" t="str">
        <x:v>256GB</x:v>
      </x:c>
      <x:c r="E31" s="34"/>
      <x:c r="F31" s="34" t="str">
        <x:f>IF(G31="","",G31-E31)</x:f>
      </x:c>
      <x:c r="G31" s="40" t="str">
        <x:f>IF(E31="","",CEILING(E31+VLOOKUP(E31,'Profit Rules'!$A$3:$B$9,2,TRUE),'Profit Rules'!$E$3))</x:f>
      </x:c>
      <x:c r="H31" s="36" t="n">
        <x:v>467.31</x:v>
      </x:c>
      <x:c r="I31" s="36" t="n">
        <x:f>IF(J31="","",J31-H31)</x:f>
        <x:v>82.69</x:v>
      </x:c>
      <x:c r="J31" s="42" t="n">
        <x:f>IF(H31="","",CEILING(H31+VLOOKUP(H31,'Profit Rules'!$A$3:$B$9,2,TRUE),'Profit Rules'!$E$3))</x:f>
        <x:v>550</x:v>
      </x:c>
      <x:c r="K31" s="38" t="n">
        <x:v>424.23</x:v>
      </x:c>
      <x:c r="L31" s="38" t="n">
        <x:f>IF(M31="","",M31-K31)</x:f>
        <x:v>80.76999999999998</x:v>
      </x:c>
      <x:c r="M31" s="44" t="n">
        <x:f>IF(K31="","",CEILING(K31+VLOOKUP(K31,'Profit Rules'!$A$3:$B$9,2,TRUE),'Profit Rules'!$E$3))</x:f>
        <x:v>505</x:v>
      </x:c>
    </x:row>
    <x:row r="32">
      <x:c r="A32" s="26" t="str">
        <x:v>Apple</x:v>
      </x:c>
      <x:c r="B32" s="26" t="str">
        <x:v>iPhone 15</x:v>
      </x:c>
      <x:c r="C32" s="26" t="str">
        <x:v>iPhone 15 Pro</x:v>
      </x:c>
      <x:c r="D32" s="26" t="str">
        <x:v>128GB</x:v>
      </x:c>
      <x:c r="E32" s="34"/>
      <x:c r="F32" s="34" t="str">
        <x:f>IF(G32="","",G32-E32)</x:f>
      </x:c>
      <x:c r="G32" s="40" t="str">
        <x:f>IF(E32="","",CEILING(E32+VLOOKUP(E32,'Profit Rules'!$A$3:$B$9,2,TRUE),'Profit Rules'!$E$3))</x:f>
      </x:c>
      <x:c r="H32" s="36"/>
      <x:c r="I32" s="36" t="str">
        <x:f>IF(J32="","",J32-H32)</x:f>
      </x:c>
      <x:c r="J32" s="42" t="str">
        <x:f>IF(H32="","",CEILING(H32+VLOOKUP(H32,'Profit Rules'!$A$3:$B$9,2,TRUE),'Profit Rules'!$E$3))</x:f>
      </x:c>
      <x:c r="K32" s="38" t="n">
        <x:v>410.38</x:v>
      </x:c>
      <x:c r="L32" s="38" t="n">
        <x:f>IF(M32="","",M32-K32)</x:f>
        <x:v>84.62</x:v>
      </x:c>
      <x:c r="M32" s="44" t="n">
        <x:f>IF(K32="","",CEILING(K32+VLOOKUP(K32,'Profit Rules'!$A$3:$B$9,2,TRUE),'Profit Rules'!$E$3))</x:f>
        <x:v>495</x:v>
      </x:c>
    </x:row>
    <x:row r="33">
      <x:c r="A33" s="26" t="str">
        <x:v>Apple</x:v>
      </x:c>
      <x:c r="B33" s="26" t="str">
        <x:v>iPhone 15</x:v>
      </x:c>
      <x:c r="C33" s="26" t="str">
        <x:v>iPhone 15 Pro</x:v>
      </x:c>
      <x:c r="D33" s="26" t="str">
        <x:v>256GB</x:v>
      </x:c>
      <x:c r="E33" s="34"/>
      <x:c r="F33" s="34" t="str">
        <x:f>IF(G33="","",G33-E33)</x:f>
      </x:c>
      <x:c r="G33" s="40" t="str">
        <x:f>IF(E33="","",CEILING(E33+VLOOKUP(E33,'Profit Rules'!$A$3:$B$9,2,TRUE),'Profit Rules'!$E$3))</x:f>
      </x:c>
      <x:c r="H33" s="36"/>
      <x:c r="I33" s="36" t="str">
        <x:f>IF(J33="","",J33-H33)</x:f>
      </x:c>
      <x:c r="J33" s="42" t="str">
        <x:f>IF(H33="","",CEILING(H33+VLOOKUP(H33,'Profit Rules'!$A$3:$B$9,2,TRUE),'Profit Rules'!$E$3))</x:f>
      </x:c>
      <x:c r="K33" s="38" t="n">
        <x:v>473.46</x:v>
      </x:c>
      <x:c r="L33" s="38" t="n">
        <x:f>IF(M33="","",M33-K33)</x:f>
        <x:v>81.54000000000002</x:v>
      </x:c>
      <x:c r="M33" s="44" t="n">
        <x:f>IF(K33="","",CEILING(K33+VLOOKUP(K33,'Profit Rules'!$A$3:$B$9,2,TRUE),'Profit Rules'!$E$3))</x:f>
        <x:v>555</x:v>
      </x:c>
    </x:row>
    <x:row r="34">
      <x:c r="A34" s="26" t="str">
        <x:v>Apple</x:v>
      </x:c>
      <x:c r="B34" s="26" t="str">
        <x:v>iPhone 15</x:v>
      </x:c>
      <x:c r="C34" s="26" t="str">
        <x:v>iPhone 15 Pro Max</x:v>
      </x:c>
      <x:c r="D34" s="26" t="str">
        <x:v>256GB</x:v>
      </x:c>
      <x:c r="E34" s="34"/>
      <x:c r="F34" s="34" t="str">
        <x:f>IF(G34="","",G34-E34)</x:f>
      </x:c>
      <x:c r="G34" s="40" t="str">
        <x:f>IF(E34="","",CEILING(E34+VLOOKUP(E34,'Profit Rules'!$A$3:$B$9,2,TRUE),'Profit Rules'!$E$3))</x:f>
      </x:c>
      <x:c r="H34" s="36"/>
      <x:c r="I34" s="36" t="str">
        <x:f>IF(J34="","",J34-H34)</x:f>
      </x:c>
      <x:c r="J34" s="42" t="str">
        <x:f>IF(H34="","",CEILING(H34+VLOOKUP(H34,'Profit Rules'!$A$3:$B$9,2,TRUE),'Profit Rules'!$E$3))</x:f>
      </x:c>
      <x:c r="K34" s="38" t="n">
        <x:v>508.85</x:v>
      </x:c>
      <x:c r="L34" s="38" t="n">
        <x:f>IF(M34="","",M34-K34)</x:f>
        <x:v>81.14999999999998</x:v>
      </x:c>
      <x:c r="M34" s="44" t="n">
        <x:f>IF(K34="","",CEILING(K34+VLOOKUP(K34,'Profit Rules'!$A$3:$B$9,2,TRUE),'Profit Rules'!$E$3))</x:f>
        <x:v>590</x:v>
      </x:c>
    </x:row>
    <x:row r="35">
      <x:c r="A35" s="26" t="str">
        <x:v>Apple</x:v>
      </x:c>
      <x:c r="B35" s="26" t="str">
        <x:v>iPhone 15</x:v>
      </x:c>
      <x:c r="C35" s="26" t="str">
        <x:v>iPhone 15 Pro Max</x:v>
      </x:c>
      <x:c r="D35" s="26" t="str">
        <x:v>512GB</x:v>
      </x:c>
      <x:c r="E35" s="34"/>
      <x:c r="F35" s="34" t="str">
        <x:f>IF(G35="","",G35-E35)</x:f>
      </x:c>
      <x:c r="G35" s="40" t="str">
        <x:f>IF(E35="","",CEILING(E35+VLOOKUP(E35,'Profit Rules'!$A$3:$B$9,2,TRUE),'Profit Rules'!$E$3))</x:f>
      </x:c>
      <x:c r="H35" s="36"/>
      <x:c r="I35" s="36" t="str">
        <x:f>IF(J35="","",J35-H35)</x:f>
      </x:c>
      <x:c r="J35" s="42" t="str">
        <x:f>IF(H35="","",CEILING(H35+VLOOKUP(H35,'Profit Rules'!$A$3:$B$9,2,TRUE),'Profit Rules'!$E$3))</x:f>
      </x:c>
      <x:c r="K35" s="38" t="n">
        <x:v>562.69</x:v>
      </x:c>
      <x:c r="L35" s="38" t="n">
        <x:f>IF(M35="","",M35-K35)</x:f>
        <x:v>82.30999999999995</x:v>
      </x:c>
      <x:c r="M35" s="44" t="n">
        <x:f>IF(K35="","",CEILING(K35+VLOOKUP(K35,'Profit Rules'!$A$3:$B$9,2,TRUE),'Profit Rules'!$E$3))</x:f>
        <x:v>645</x:v>
      </x:c>
    </x:row>
    <x:row r="36">
      <x:c r="A36" s="26" t="str">
        <x:v>Apple</x:v>
      </x:c>
      <x:c r="B36" s="26" t="str">
        <x:v>iPhone 16</x:v>
      </x:c>
      <x:c r="C36" s="26" t="str">
        <x:v>iPhone 16</x:v>
      </x:c>
      <x:c r="D36" s="26" t="str">
        <x:v>128GB</x:v>
      </x:c>
      <x:c r="E36" s="34"/>
      <x:c r="F36" s="34" t="str">
        <x:f>IF(G36="","",G36-E36)</x:f>
      </x:c>
      <x:c r="G36" s="40" t="str">
        <x:f>IF(E36="","",CEILING(E36+VLOOKUP(E36,'Profit Rules'!$A$3:$B$9,2,TRUE),'Profit Rules'!$E$3))</x:f>
      </x:c>
      <x:c r="H36" s="36"/>
      <x:c r="I36" s="36" t="str">
        <x:f>IF(J36="","",J36-H36)</x:f>
      </x:c>
      <x:c r="J36" s="42" t="str">
        <x:f>IF(H36="","",CEILING(H36+VLOOKUP(H36,'Profit Rules'!$A$3:$B$9,2,TRUE),'Profit Rules'!$E$3))</x:f>
      </x:c>
      <x:c r="K36" s="38" t="n">
        <x:v>467.31</x:v>
      </x:c>
      <x:c r="L36" s="38" t="n">
        <x:f>IF(M36="","",M36-K36)</x:f>
        <x:v>82.69</x:v>
      </x:c>
      <x:c r="M36" s="44" t="n">
        <x:f>IF(K36="","",CEILING(K36+VLOOKUP(K36,'Profit Rules'!$A$3:$B$9,2,TRUE),'Profit Rules'!$E$3))</x:f>
        <x:v>550</x:v>
      </x:c>
    </x:row>
    <x:row r="37">
      <x:c r="A37" s="26" t="str">
        <x:v>Apple</x:v>
      </x:c>
      <x:c r="B37" s="26" t="str">
        <x:v>iPhone 16</x:v>
      </x:c>
      <x:c r="C37" s="26" t="str">
        <x:v>iPhone 16</x:v>
      </x:c>
      <x:c r="D37" s="26" t="str">
        <x:v>256GB</x:v>
      </x:c>
      <x:c r="E37" s="34"/>
      <x:c r="F37" s="34" t="str">
        <x:f>IF(G37="","",G37-E37)</x:f>
      </x:c>
      <x:c r="G37" s="40" t="str">
        <x:f>IF(E37="","",CEILING(E37+VLOOKUP(E37,'Profit Rules'!$A$3:$B$9,2,TRUE),'Profit Rules'!$E$3))</x:f>
      </x:c>
      <x:c r="H37" s="36"/>
      <x:c r="I37" s="36" t="str">
        <x:f>IF(J37="","",J37-H37)</x:f>
      </x:c>
      <x:c r="J37" s="42" t="str">
        <x:f>IF(H37="","",CEILING(H37+VLOOKUP(H37,'Profit Rules'!$A$3:$B$9,2,TRUE),'Profit Rules'!$E$3))</x:f>
      </x:c>
      <x:c r="K37" s="38" t="n">
        <x:v>544.23</x:v>
      </x:c>
      <x:c r="L37" s="38" t="n">
        <x:f>IF(M37="","",M37-K37)</x:f>
        <x:v>80.76999999999998</x:v>
      </x:c>
      <x:c r="M37" s="44" t="n">
        <x:f>IF(K37="","",CEILING(K37+VLOOKUP(K37,'Profit Rules'!$A$3:$B$9,2,TRUE),'Profit Rules'!$E$3))</x:f>
        <x:v>625</x:v>
      </x:c>
    </x:row>
    <x:row r="38">
      <x:c r="A38" s="26" t="str">
        <x:v>Apple</x:v>
      </x:c>
      <x:c r="B38" s="26" t="str">
        <x:v>iPhone 16</x:v>
      </x:c>
      <x:c r="C38" s="26" t="str">
        <x:v>iPhone 16</x:v>
      </x:c>
      <x:c r="D38" s="26" t="str">
        <x:v>512GB</x:v>
      </x:c>
      <x:c r="E38" s="34"/>
      <x:c r="F38" s="34" t="str">
        <x:f>IF(G38="","",G38-E38)</x:f>
      </x:c>
      <x:c r="G38" s="40" t="str">
        <x:f>IF(E38="","",CEILING(E38+VLOOKUP(E38,'Profit Rules'!$A$3:$B$9,2,TRUE),'Profit Rules'!$E$3))</x:f>
      </x:c>
      <x:c r="H38" s="36"/>
      <x:c r="I38" s="36" t="str">
        <x:f>IF(J38="","",J38-H38)</x:f>
      </x:c>
      <x:c r="J38" s="42" t="str">
        <x:f>IF(H38="","",CEILING(H38+VLOOKUP(H38,'Profit Rules'!$A$3:$B$9,2,TRUE),'Profit Rules'!$E$3))</x:f>
      </x:c>
      <x:c r="K38" s="38" t="n">
        <x:v>788.85</x:v>
      </x:c>
      <x:c r="L38" s="38" t="n">
        <x:f>IF(M38="","",M38-K38)</x:f>
        <x:v>111.14999999999998</x:v>
      </x:c>
      <x:c r="M38" s="44" t="n">
        <x:f>IF(K38="","",CEILING(K38+VLOOKUP(K38,'Profit Rules'!$A$3:$B$9,2,TRUE),'Profit Rules'!$E$3))</x:f>
        <x:v>900</x:v>
      </x:c>
    </x:row>
    <x:row r="39">
      <x:c r="A39" s="26" t="str">
        <x:v>Apple</x:v>
      </x:c>
      <x:c r="B39" s="26" t="str">
        <x:v>iPhone 16</x:v>
      </x:c>
      <x:c r="C39" s="26" t="str">
        <x:v>iPhone 16 Pro</x:v>
      </x:c>
      <x:c r="D39" s="26" t="str">
        <x:v>128GB</x:v>
      </x:c>
      <x:c r="E39" s="34"/>
      <x:c r="F39" s="34" t="str">
        <x:f>IF(G39="","",G39-E39)</x:f>
      </x:c>
      <x:c r="G39" s="40" t="str">
        <x:f>IF(E39="","",CEILING(E39+VLOOKUP(E39,'Profit Rules'!$A$3:$B$9,2,TRUE),'Profit Rules'!$E$3))</x:f>
      </x:c>
      <x:c r="H39" s="36" t="n">
        <x:v>568.85</x:v>
      </x:c>
      <x:c r="I39" s="36" t="n">
        <x:f>IF(J39="","",J39-H39)</x:f>
        <x:v>81.14999999999998</x:v>
      </x:c>
      <x:c r="J39" s="42" t="n">
        <x:f>IF(H39="","",CEILING(H39+VLOOKUP(H39,'Profit Rules'!$A$3:$B$9,2,TRUE),'Profit Rules'!$E$3))</x:f>
        <x:v>650</x:v>
      </x:c>
      <x:c r="K39" s="38"/>
      <x:c r="L39" s="38" t="str">
        <x:f>IF(M39="","",M39-K39)</x:f>
      </x:c>
      <x:c r="M39" s="44" t="str">
        <x:f>IF(K39="","",CEILING(K39+VLOOKUP(K39,'Profit Rules'!$A$3:$B$9,2,TRUE),'Profit Rules'!$E$3))</x:f>
      </x:c>
    </x:row>
    <x:row r="40">
      <x:c r="A40" s="26" t="str">
        <x:v>Apple</x:v>
      </x:c>
      <x:c r="B40" s="26" t="str">
        <x:v>iPhone 16</x:v>
      </x:c>
      <x:c r="C40" s="26" t="str">
        <x:v>iPhone 16 Pro</x:v>
      </x:c>
      <x:c r="D40" s="26" t="str">
        <x:v>256GB</x:v>
      </x:c>
      <x:c r="E40" s="34"/>
      <x:c r="F40" s="34" t="str">
        <x:f>IF(G40="","",G40-E40)</x:f>
      </x:c>
      <x:c r="G40" s="40" t="str">
        <x:f>IF(E40="","",CEILING(E40+VLOOKUP(E40,'Profit Rules'!$A$3:$B$9,2,TRUE),'Profit Rules'!$E$3))</x:f>
      </x:c>
      <x:c r="H40" s="36" t="n">
        <x:v>655</x:v>
      </x:c>
      <x:c r="I40" s="36" t="n">
        <x:f>IF(J40="","",J40-H40)</x:f>
        <x:v>110</x:v>
      </x:c>
      <x:c r="J40" s="42" t="n">
        <x:f>IF(H40="","",CEILING(H40+VLOOKUP(H40,'Profit Rules'!$A$3:$B$9,2,TRUE),'Profit Rules'!$E$3))</x:f>
        <x:v>765</x:v>
      </x:c>
      <x:c r="K40" s="38"/>
      <x:c r="L40" s="38" t="str">
        <x:f>IF(M40="","",M40-K40)</x:f>
      </x:c>
      <x:c r="M40" s="44" t="str">
        <x:f>IF(K40="","",CEILING(K40+VLOOKUP(K40,'Profit Rules'!$A$3:$B$9,2,TRUE),'Profit Rules'!$E$3))</x:f>
      </x:c>
    </x:row>
    <x:row r="41">
      <x:c r="A41" s="26" t="str">
        <x:v>Apple</x:v>
      </x:c>
      <x:c r="B41" s="26" t="str">
        <x:v>iPhone 16</x:v>
      </x:c>
      <x:c r="C41" s="26" t="str">
        <x:v>iPhone 16 Pro</x:v>
      </x:c>
      <x:c r="D41" s="26" t="str">
        <x:v>512GB</x:v>
      </x:c>
      <x:c r="E41" s="34"/>
      <x:c r="F41" s="34" t="str">
        <x:f>IF(G41="","",G41-E41)</x:f>
      </x:c>
      <x:c r="G41" s="40" t="str">
        <x:f>IF(E41="","",CEILING(E41+VLOOKUP(E41,'Profit Rules'!$A$3:$B$9,2,TRUE),'Profit Rules'!$E$3))</x:f>
      </x:c>
      <x:c r="H41" s="36" t="n">
        <x:v>750.38</x:v>
      </x:c>
      <x:c r="I41" s="36" t="n">
        <x:f>IF(J41="","",J41-H41)</x:f>
        <x:v>114.62</x:v>
      </x:c>
      <x:c r="J41" s="42" t="n">
        <x:f>IF(H41="","",CEILING(H41+VLOOKUP(H41,'Profit Rules'!$A$3:$B$9,2,TRUE),'Profit Rules'!$E$3))</x:f>
        <x:v>865</x:v>
      </x:c>
      <x:c r="K41" s="38"/>
      <x:c r="L41" s="38" t="str">
        <x:f>IF(M41="","",M41-K41)</x:f>
      </x:c>
      <x:c r="M41" s="44" t="str">
        <x:f>IF(K41="","",CEILING(K41+VLOOKUP(K41,'Profit Rules'!$A$3:$B$9,2,TRUE),'Profit Rules'!$E$3))</x:f>
      </x:c>
    </x:row>
    <x:row r="42">
      <x:c r="A42" s="26" t="str">
        <x:v>Apple</x:v>
      </x:c>
      <x:c r="B42" s="26" t="str">
        <x:v>iPhone 16</x:v>
      </x:c>
      <x:c r="C42" s="26" t="str">
        <x:v>iPhone 16 Pro Max</x:v>
      </x:c>
      <x:c r="D42" s="26" t="str">
        <x:v>256GB</x:v>
      </x:c>
      <x:c r="E42" s="34"/>
      <x:c r="F42" s="34" t="str">
        <x:f>IF(G42="","",G42-E42)</x:f>
      </x:c>
      <x:c r="G42" s="40" t="str">
        <x:f>IF(E42="","",CEILING(E42+VLOOKUP(E42,'Profit Rules'!$A$3:$B$9,2,TRUE),'Profit Rules'!$E$3))</x:f>
      </x:c>
      <x:c r="H42" s="36" t="n">
        <x:v>701.15</x:v>
      </x:c>
      <x:c r="I42" s="36" t="n">
        <x:f>IF(J42="","",J42-H42)</x:f>
        <x:v>113.85000000000002</x:v>
      </x:c>
      <x:c r="J42" s="42" t="n">
        <x:f>IF(H42="","",CEILING(H42+VLOOKUP(H42,'Profit Rules'!$A$3:$B$9,2,TRUE),'Profit Rules'!$E$3))</x:f>
        <x:v>815</x:v>
      </x:c>
      <x:c r="K42" s="38"/>
      <x:c r="L42" s="38" t="str">
        <x:f>IF(M42="","",M42-K42)</x:f>
      </x:c>
      <x:c r="M42" s="44" t="str">
        <x:f>IF(K42="","",CEILING(K42+VLOOKUP(K42,'Profit Rules'!$A$3:$B$9,2,TRUE),'Profit Rules'!$E$3))</x:f>
      </x:c>
    </x:row>
    <x:row r="43">
      <x:c r="A43" s="26" t="str">
        <x:v>Apple</x:v>
      </x:c>
      <x:c r="B43" s="26" t="str">
        <x:v>iPhone 16</x:v>
      </x:c>
      <x:c r="C43" s="26" t="str">
        <x:v>iPhone 16 Pro Max</x:v>
      </x:c>
      <x:c r="D43" s="26" t="str">
        <x:v>512GB</x:v>
      </x:c>
      <x:c r="E43" s="34"/>
      <x:c r="F43" s="34" t="str">
        <x:f>IF(G43="","",G43-E43)</x:f>
      </x:c>
      <x:c r="G43" s="40" t="str">
        <x:f>IF(E43="","",CEILING(E43+VLOOKUP(E43,'Profit Rules'!$A$3:$B$9,2,TRUE),'Profit Rules'!$E$3))</x:f>
      </x:c>
      <x:c r="H43" s="36" t="n">
        <x:v>790.38</x:v>
      </x:c>
      <x:c r="I43" s="36" t="n">
        <x:f>IF(J43="","",J43-H43)</x:f>
        <x:v>114.62</x:v>
      </x:c>
      <x:c r="J43" s="42" t="n">
        <x:f>IF(H43="","",CEILING(H43+VLOOKUP(H43,'Profit Rules'!$A$3:$B$9,2,TRUE),'Profit Rules'!$E$3))</x:f>
        <x:v>905</x:v>
      </x:c>
      <x:c r="K43" s="38"/>
      <x:c r="L43" s="38" t="str">
        <x:f>IF(M43="","",M43-K43)</x:f>
      </x:c>
      <x:c r="M43" s="44" t="str">
        <x:f>IF(K43="","",CEILING(K43+VLOOKUP(K43,'Profit Rules'!$A$3:$B$9,2,TRUE),'Profit Rules'!$E$3))</x:f>
      </x:c>
    </x:row>
    <x:row r="44">
      <x:c r="A44" s="26" t="str">
        <x:v>Apple</x:v>
      </x:c>
      <x:c r="B44" s="26" t="str">
        <x:v>iPhone 17</x:v>
      </x:c>
      <x:c r="C44" s="26" t="str">
        <x:v>iPhone 17</x:v>
      </x:c>
      <x:c r="D44" s="26" t="str">
        <x:v>256GB</x:v>
      </x:c>
      <x:c r="E44" s="34"/>
      <x:c r="F44" s="34" t="str">
        <x:f>IF(G44="","",G44-E44)</x:f>
      </x:c>
      <x:c r="G44" s="40" t="str">
        <x:f>IF(E44="","",CEILING(E44+VLOOKUP(E44,'Profit Rules'!$A$3:$B$9,2,TRUE),'Profit Rules'!$E$3))</x:f>
      </x:c>
      <x:c r="H44" s="36" t="n">
        <x:v>716.54</x:v>
      </x:c>
      <x:c r="I44" s="36" t="n">
        <x:f>IF(J44="","",J44-H44)</x:f>
        <x:v>113.46000000000004</x:v>
      </x:c>
      <x:c r="J44" s="42" t="n">
        <x:f>IF(H44="","",CEILING(H44+VLOOKUP(H44,'Profit Rules'!$A$3:$B$9,2,TRUE),'Profit Rules'!$E$3))</x:f>
        <x:v>830</x:v>
      </x:c>
      <x:c r="K44" s="38"/>
      <x:c r="L44" s="38" t="str">
        <x:f>IF(M44="","",M44-K44)</x:f>
      </x:c>
      <x:c r="M44" s="44" t="str">
        <x:f>IF(K44="","",CEILING(K44+VLOOKUP(K44,'Profit Rules'!$A$3:$B$9,2,TRUE),'Profit Rules'!$E$3))</x:f>
      </x:c>
    </x:row>
    <x:row r="45">
      <x:c r="A45" s="26" t="str">
        <x:v>Apple</x:v>
      </x:c>
      <x:c r="B45" s="26" t="str">
        <x:v>iPhone 17</x:v>
      </x:c>
      <x:c r="C45" s="26" t="str">
        <x:v>iPhone 17</x:v>
      </x:c>
      <x:c r="D45" s="26" t="str">
        <x:v>512GB</x:v>
      </x:c>
      <x:c r="E45" s="34"/>
      <x:c r="F45" s="34" t="str">
        <x:f>IF(G45="","",G45-E45)</x:f>
      </x:c>
      <x:c r="G45" s="40" t="str">
        <x:f>IF(E45="","",CEILING(E45+VLOOKUP(E45,'Profit Rules'!$A$3:$B$9,2,TRUE),'Profit Rules'!$E$3))</x:f>
      </x:c>
      <x:c r="H45" s="36" t="n">
        <x:v>962.69</x:v>
      </x:c>
      <x:c r="I45" s="36" t="n">
        <x:f>IF(J45="","",J45-H45)</x:f>
        <x:v>142.30999999999995</x:v>
      </x:c>
      <x:c r="J45" s="42" t="n">
        <x:f>IF(H45="","",CEILING(H45+VLOOKUP(H45,'Profit Rules'!$A$3:$B$9,2,TRUE),'Profit Rules'!$E$3))</x:f>
        <x:v>1105</x:v>
      </x:c>
      <x:c r="K45" s="38"/>
      <x:c r="L45" s="38" t="str">
        <x:f>IF(M45="","",M45-K45)</x:f>
      </x:c>
      <x:c r="M45" s="44" t="str">
        <x:f>IF(K45="","",CEILING(K45+VLOOKUP(K45,'Profit Rules'!$A$3:$B$9,2,TRUE),'Profit Rules'!$E$3))</x:f>
      </x:c>
    </x:row>
    <x:row r="46">
      <x:c r="A46" s="26" t="str">
        <x:v>Apple</x:v>
      </x:c>
      <x:c r="B46" s="26" t="str">
        <x:v>iPhone 17</x:v>
      </x:c>
      <x:c r="C46" s="26" t="str">
        <x:v>iPhone 17 Pro</x:v>
      </x:c>
      <x:c r="D46" s="26" t="str">
        <x:v>256GB</x:v>
      </x:c>
      <x:c r="E46" s="34"/>
      <x:c r="F46" s="34" t="str">
        <x:f>IF(G46="","",G46-E46)</x:f>
      </x:c>
      <x:c r="G46" s="40" t="str">
        <x:f>IF(E46="","",CEILING(E46+VLOOKUP(E46,'Profit Rules'!$A$3:$B$9,2,TRUE),'Profit Rules'!$E$3))</x:f>
      </x:c>
      <x:c r="H46" s="36" t="n">
        <x:v>988.85</x:v>
      </x:c>
      <x:c r="I46" s="36" t="n">
        <x:f>IF(J46="","",J46-H46)</x:f>
        <x:v>141.14999999999998</x:v>
      </x:c>
      <x:c r="J46" s="42" t="n">
        <x:f>IF(H46="","",CEILING(H46+VLOOKUP(H46,'Profit Rules'!$A$3:$B$9,2,TRUE),'Profit Rules'!$E$3))</x:f>
        <x:v>1130</x:v>
      </x:c>
      <x:c r="K46" s="38"/>
      <x:c r="L46" s="38" t="str">
        <x:f>IF(M46="","",M46-K46)</x:f>
      </x:c>
      <x:c r="M46" s="44" t="str">
        <x:f>IF(K46="","",CEILING(K46+VLOOKUP(K46,'Profit Rules'!$A$3:$B$9,2,TRUE),'Profit Rules'!$E$3))</x:f>
      </x:c>
    </x:row>
    <x:row r="47">
      <x:c r="A47" s="26" t="str">
        <x:v>Apple</x:v>
      </x:c>
      <x:c r="B47" s="26" t="str">
        <x:v>iPhone 17</x:v>
      </x:c>
      <x:c r="C47" s="26" t="str">
        <x:v>iPhone 17 Pro</x:v>
      </x:c>
      <x:c r="D47" s="26" t="str">
        <x:v>512GB</x:v>
      </x:c>
      <x:c r="E47" s="34"/>
      <x:c r="F47" s="34" t="str">
        <x:f>IF(G47="","",G47-E47)</x:f>
      </x:c>
      <x:c r="G47" s="40" t="str">
        <x:f>IF(E47="","",CEILING(E47+VLOOKUP(E47,'Profit Rules'!$A$3:$B$9,2,TRUE),'Profit Rules'!$E$3))</x:f>
      </x:c>
      <x:c r="H47" s="36" t="n">
        <x:v>1173.46</x:v>
      </x:c>
      <x:c r="I47" s="36" t="n">
        <x:f>IF(J47="","",J47-H47)</x:f>
        <x:v>141.53999999999996</x:v>
      </x:c>
      <x:c r="J47" s="42" t="n">
        <x:f>IF(H47="","",CEILING(H47+VLOOKUP(H47,'Profit Rules'!$A$3:$B$9,2,TRUE),'Profit Rules'!$E$3))</x:f>
        <x:v>1315</x:v>
      </x:c>
      <x:c r="K47" s="38"/>
      <x:c r="L47" s="38" t="str">
        <x:f>IF(M47="","",M47-K47)</x:f>
      </x:c>
      <x:c r="M47" s="44" t="str">
        <x:f>IF(K47="","",CEILING(K47+VLOOKUP(K47,'Profit Rules'!$A$3:$B$9,2,TRUE),'Profit Rules'!$E$3))</x:f>
      </x:c>
    </x:row>
    <x:row r="48">
      <x:c r="A48" s="26" t="str">
        <x:v>Apple</x:v>
      </x:c>
      <x:c r="B48" s="26" t="str">
        <x:v>iPhone 17</x:v>
      </x:c>
      <x:c r="C48" s="26" t="str">
        <x:v>iPhone 17 Pro Max</x:v>
      </x:c>
      <x:c r="D48" s="26" t="str">
        <x:v>256GB</x:v>
      </x:c>
      <x:c r="E48" s="34"/>
      <x:c r="F48" s="34" t="str">
        <x:f>IF(G48="","",G48-E48)</x:f>
      </x:c>
      <x:c r="G48" s="40" t="str">
        <x:f>IF(E48="","",CEILING(E48+VLOOKUP(E48,'Profit Rules'!$A$3:$B$9,2,TRUE),'Profit Rules'!$E$3))</x:f>
      </x:c>
      <x:c r="H48" s="36" t="n">
        <x:v>1075</x:v>
      </x:c>
      <x:c r="I48" s="36" t="n">
        <x:f>IF(J48="","",J48-H48)</x:f>
        <x:v>140</x:v>
      </x:c>
      <x:c r="J48" s="42" t="n">
        <x:f>IF(H48="","",CEILING(H48+VLOOKUP(H48,'Profit Rules'!$A$3:$B$9,2,TRUE),'Profit Rules'!$E$3))</x:f>
        <x:v>1215</x:v>
      </x:c>
      <x:c r="K48" s="38"/>
      <x:c r="L48" s="38" t="str">
        <x:f>IF(M48="","",M48-K48)</x:f>
      </x:c>
      <x:c r="M48" s="44" t="str">
        <x:f>IF(K48="","",CEILING(K48+VLOOKUP(K48,'Profit Rules'!$A$3:$B$9,2,TRUE),'Profit Rules'!$E$3))</x:f>
      </x:c>
    </x:row>
    <x:row r="49">
      <x:c r="A49" s="26" t="str">
        <x:v>Apple</x:v>
      </x:c>
      <x:c r="B49" s="26" t="str">
        <x:v>iPhone 17</x:v>
      </x:c>
      <x:c r="C49" s="26" t="str">
        <x:v>iPhone 17 Pro Max</x:v>
      </x:c>
      <x:c r="D49" s="26" t="str">
        <x:v>512GB</x:v>
      </x:c>
      <x:c r="E49" s="34"/>
      <x:c r="F49" s="34" t="str">
        <x:f>IF(G49="","",G49-E49)</x:f>
      </x:c>
      <x:c r="G49" s="40" t="str">
        <x:f>IF(E49="","",CEILING(E49+VLOOKUP(E49,'Profit Rules'!$A$3:$B$9,2,TRUE),'Profit Rules'!$E$3))</x:f>
      </x:c>
      <x:c r="H49" s="36" t="n">
        <x:v>1256.54</x:v>
      </x:c>
      <x:c r="I49" s="36" t="n">
        <x:f>IF(J49="","",J49-H49)</x:f>
        <x:v>183.46000000000004</x:v>
      </x:c>
      <x:c r="J49" s="42" t="n">
        <x:f>IF(H49="","",CEILING(H49+VLOOKUP(H49,'Profit Rules'!$A$3:$B$9,2,TRUE),'Profit Rules'!$E$3))</x:f>
        <x:v>1440</x:v>
      </x:c>
      <x:c r="K49" s="38"/>
      <x:c r="L49" s="38" t="str">
        <x:f>IF(M49="","",M49-K49)</x:f>
      </x:c>
      <x:c r="M49" s="44" t="str">
        <x:f>IF(K49="","",CEILING(K49+VLOOKUP(K49,'Profit Rules'!$A$3:$B$9,2,TRUE),'Profit Rules'!$E$3))</x:f>
      </x:c>
    </x:row>
    <x:row r="50">
      <x:c r="A50" s="26" t="str">
        <x:v>Apple</x:v>
      </x:c>
      <x:c r="B50" s="26" t="str">
        <x:v>iPhone 17</x:v>
      </x:c>
      <x:c r="C50" s="26" t="str">
        <x:v>iPhone 17 Pro Max</x:v>
      </x:c>
      <x:c r="D50" s="26" t="str">
        <x:v>1TB</x:v>
      </x:c>
      <x:c r="E50" s="34"/>
      <x:c r="F50" s="34" t="str">
        <x:f>IF(G50="","",G50-E50)</x:f>
      </x:c>
      <x:c r="G50" s="40" t="str">
        <x:f>IF(E50="","",CEILING(E50+VLOOKUP(E50,'Profit Rules'!$A$3:$B$9,2,TRUE),'Profit Rules'!$E$3))</x:f>
      </x:c>
      <x:c r="H50" s="36" t="n">
        <x:v>1404.23</x:v>
      </x:c>
      <x:c r="I50" s="36" t="n">
        <x:f>IF(J50="","",J50-H50)</x:f>
        <x:v>180.76999999999998</x:v>
      </x:c>
      <x:c r="J50" s="42" t="n">
        <x:f>IF(H50="","",CEILING(H50+VLOOKUP(H50,'Profit Rules'!$A$3:$B$9,2,TRUE),'Profit Rules'!$E$3))</x:f>
        <x:v>1585</x:v>
      </x:c>
      <x:c r="K50" s="38"/>
      <x:c r="L50" s="38" t="str">
        <x:f>IF(M50="","",M50-K50)</x:f>
      </x:c>
      <x:c r="M50" s="44" t="str">
        <x:f>IF(K50="","",CEILING(K50+VLOOKUP(K50,'Profit Rules'!$A$3:$B$9,2,TRUE),'Profit Rules'!$E$3))</x:f>
      </x:c>
    </x:row>
    <x:row r="51">
      <x:c r="A51" s="26" t="str">
        <x:v>Samsung</x:v>
      </x:c>
      <x:c r="B51" s="26" t="str">
        <x:v>Galaxy A05</x:v>
      </x:c>
      <x:c r="C51" s="26" t="str">
        <x:v>Samsung Galaxy A05</x:v>
      </x:c>
      <x:c r="D51" s="26" t="str">
        <x:v>64GB</x:v>
      </x:c>
      <x:c r="E51" s="34" t="n">
        <x:v>133.46</x:v>
      </x:c>
      <x:c r="F51" s="34" t="n">
        <x:f>IF(G51="","",G51-E51)</x:f>
        <x:v>36.53999999999999</x:v>
      </x:c>
      <x:c r="G51" s="40" t="n">
        <x:f>IF(E51="","",CEILING(E51+VLOOKUP(E51,'Profit Rules'!$A$3:$B$9,2,TRUE),'Profit Rules'!$E$3))</x:f>
        <x:v>170</x:v>
      </x:c>
      <x:c r="H51" s="36"/>
      <x:c r="I51" s="36" t="str">
        <x:f>IF(J51="","",J51-H51)</x:f>
      </x:c>
      <x:c r="J51" s="42" t="str">
        <x:f>IF(H51="","",CEILING(H51+VLOOKUP(H51,'Profit Rules'!$A$3:$B$9,2,TRUE),'Profit Rules'!$E$3))</x:f>
      </x:c>
      <x:c r="K51" s="38"/>
      <x:c r="L51" s="38" t="str">
        <x:f>IF(M51="","",M51-K51)</x:f>
      </x:c>
      <x:c r="M51" s="44" t="str">
        <x:f>IF(K51="","",CEILING(K51+VLOOKUP(K51,'Profit Rules'!$A$3:$B$9,2,TRUE),'Profit Rules'!$E$3))</x:f>
      </x:c>
    </x:row>
    <x:row r="52">
      <x:c r="A52" s="26" t="str">
        <x:v>Samsung</x:v>
      </x:c>
      <x:c r="B52" s="26" t="str">
        <x:v>Galaxy A05</x:v>
      </x:c>
      <x:c r="C52" s="26" t="str">
        <x:v>Samsung Galaxy A05</x:v>
      </x:c>
      <x:c r="D52" s="26" t="str">
        <x:v>128GB</x:v>
      </x:c>
      <x:c r="E52" s="34" t="n">
        <x:v>153.46</x:v>
      </x:c>
      <x:c r="F52" s="34" t="n">
        <x:f>IF(G52="","",G52-E52)</x:f>
        <x:v>46.53999999999999</x:v>
      </x:c>
      <x:c r="G52" s="40" t="n">
        <x:f>IF(E52="","",CEILING(E52+VLOOKUP(E52,'Profit Rules'!$A$3:$B$9,2,TRUE),'Profit Rules'!$E$3))</x:f>
        <x:v>200</x:v>
      </x:c>
      <x:c r="H52" s="36"/>
      <x:c r="I52" s="36" t="str">
        <x:f>IF(J52="","",J52-H52)</x:f>
      </x:c>
      <x:c r="J52" s="42" t="str">
        <x:f>IF(H52="","",CEILING(H52+VLOOKUP(H52,'Profit Rules'!$A$3:$B$9,2,TRUE),'Profit Rules'!$E$3))</x:f>
      </x:c>
      <x:c r="K52" s="38"/>
      <x:c r="L52" s="38" t="str">
        <x:f>IF(M52="","",M52-K52)</x:f>
      </x:c>
      <x:c r="M52" s="44" t="str">
        <x:f>IF(K52="","",CEILING(K52+VLOOKUP(K52,'Profit Rules'!$A$3:$B$9,2,TRUE),'Profit Rules'!$E$3))</x:f>
      </x:c>
    </x:row>
    <x:row r="53">
      <x:c r="A53" s="26" t="str">
        <x:v>Samsung</x:v>
      </x:c>
      <x:c r="B53" s="26" t="str">
        <x:v>Galaxy A05s</x:v>
      </x:c>
      <x:c r="C53" s="26" t="str">
        <x:v>Samsung Galaxy A05s</x:v>
      </x:c>
      <x:c r="D53" s="26" t="str">
        <x:v>64GB</x:v>
      </x:c>
      <x:c r="E53" s="34" t="n">
        <x:v>138.08</x:v>
      </x:c>
      <x:c r="F53" s="34" t="n">
        <x:f>IF(G53="","",G53-E53)</x:f>
        <x:v>36.91999999999999</x:v>
      </x:c>
      <x:c r="G53" s="40" t="n">
        <x:f>IF(E53="","",CEILING(E53+VLOOKUP(E53,'Profit Rules'!$A$3:$B$9,2,TRUE),'Profit Rules'!$E$3))</x:f>
        <x:v>175</x:v>
      </x:c>
      <x:c r="H53" s="36"/>
      <x:c r="I53" s="36" t="str">
        <x:f>IF(J53="","",J53-H53)</x:f>
      </x:c>
      <x:c r="J53" s="42" t="str">
        <x:f>IF(H53="","",CEILING(H53+VLOOKUP(H53,'Profit Rules'!$A$3:$B$9,2,TRUE),'Profit Rules'!$E$3))</x:f>
      </x:c>
      <x:c r="K53" s="38"/>
      <x:c r="L53" s="38" t="str">
        <x:f>IF(M53="","",M53-K53)</x:f>
      </x:c>
      <x:c r="M53" s="44" t="str">
        <x:f>IF(K53="","",CEILING(K53+VLOOKUP(K53,'Profit Rules'!$A$3:$B$9,2,TRUE),'Profit Rules'!$E$3))</x:f>
      </x:c>
    </x:row>
    <x:row r="54">
      <x:c r="A54" s="26" t="str">
        <x:v>Samsung</x:v>
      </x:c>
      <x:c r="B54" s="26" t="str">
        <x:v>Galaxy A05s</x:v>
      </x:c>
      <x:c r="C54" s="26" t="str">
        <x:v>Samsung Galaxy A05s</x:v>
      </x:c>
      <x:c r="D54" s="26" t="str">
        <x:v>128GB</x:v>
      </x:c>
      <x:c r="E54" s="34" t="n">
        <x:v>153.46</x:v>
      </x:c>
      <x:c r="F54" s="34" t="n">
        <x:f>IF(G54="","",G54-E54)</x:f>
        <x:v>46.53999999999999</x:v>
      </x:c>
      <x:c r="G54" s="40" t="n">
        <x:f>IF(E54="","",CEILING(E54+VLOOKUP(E54,'Profit Rules'!$A$3:$B$9,2,TRUE),'Profit Rules'!$E$3))</x:f>
        <x:v>200</x:v>
      </x:c>
      <x:c r="H54" s="36"/>
      <x:c r="I54" s="36" t="str">
        <x:f>IF(J54="","",J54-H54)</x:f>
      </x:c>
      <x:c r="J54" s="42" t="str">
        <x:f>IF(H54="","",CEILING(H54+VLOOKUP(H54,'Profit Rules'!$A$3:$B$9,2,TRUE),'Profit Rules'!$E$3))</x:f>
      </x:c>
      <x:c r="K54" s="38"/>
      <x:c r="L54" s="38" t="str">
        <x:f>IF(M54="","",M54-K54)</x:f>
      </x:c>
      <x:c r="M54" s="44" t="str">
        <x:f>IF(K54="","",CEILING(K54+VLOOKUP(K54,'Profit Rules'!$A$3:$B$9,2,TRUE),'Profit Rules'!$E$3))</x:f>
      </x:c>
    </x:row>
    <x:row r="55">
      <x:c r="A55" s="26" t="str">
        <x:v>Samsung</x:v>
      </x:c>
      <x:c r="B55" s="26" t="str">
        <x:v>Galaxy A12</x:v>
      </x:c>
      <x:c r="C55" s="26" t="str">
        <x:v>Samsung Galaxy A12</x:v>
      </x:c>
      <x:c r="D55" s="26" t="str">
        <x:v>32GB</x:v>
      </x:c>
      <x:c r="E55" s="34" t="n">
        <x:v>151.92</x:v>
      </x:c>
      <x:c r="F55" s="34" t="n">
        <x:f>IF(G55="","",G55-E55)</x:f>
        <x:v>48.08000000000001</x:v>
      </x:c>
      <x:c r="G55" s="40" t="n">
        <x:f>IF(E55="","",CEILING(E55+VLOOKUP(E55,'Profit Rules'!$A$3:$B$9,2,TRUE),'Profit Rules'!$E$3))</x:f>
        <x:v>200</x:v>
      </x:c>
      <x:c r="H55" s="36"/>
      <x:c r="I55" s="36" t="str">
        <x:f>IF(J55="","",J55-H55)</x:f>
      </x:c>
      <x:c r="J55" s="42" t="str">
        <x:f>IF(H55="","",CEILING(H55+VLOOKUP(H55,'Profit Rules'!$A$3:$B$9,2,TRUE),'Profit Rules'!$E$3))</x:f>
      </x:c>
      <x:c r="K55" s="38"/>
      <x:c r="L55" s="38" t="str">
        <x:f>IF(M55="","",M55-K55)</x:f>
      </x:c>
      <x:c r="M55" s="44" t="str">
        <x:f>IF(K55="","",CEILING(K55+VLOOKUP(K55,'Profit Rules'!$A$3:$B$9,2,TRUE),'Profit Rules'!$E$3))</x:f>
      </x:c>
    </x:row>
    <x:row r="56">
      <x:c r="A56" s="26" t="str">
        <x:v>Samsung</x:v>
      </x:c>
      <x:c r="B56" s="26" t="str">
        <x:v>Galaxy A12</x:v>
      </x:c>
      <x:c r="C56" s="26" t="str">
        <x:v>Samsung Galaxy A12</x:v>
      </x:c>
      <x:c r="D56" s="26" t="str">
        <x:v>64GB</x:v>
      </x:c>
      <x:c r="E56" s="34" t="n">
        <x:v>173.46</x:v>
      </x:c>
      <x:c r="F56" s="34" t="n">
        <x:f>IF(G56="","",G56-E56)</x:f>
        <x:v>46.53999999999999</x:v>
      </x:c>
      <x:c r="G56" s="40" t="n">
        <x:f>IF(E56="","",CEILING(E56+VLOOKUP(E56,'Profit Rules'!$A$3:$B$9,2,TRUE),'Profit Rules'!$E$3))</x:f>
        <x:v>220</x:v>
      </x:c>
      <x:c r="H56" s="36"/>
      <x:c r="I56" s="36" t="str">
        <x:f>IF(J56="","",J56-H56)</x:f>
      </x:c>
      <x:c r="J56" s="42" t="str">
        <x:f>IF(H56="","",CEILING(H56+VLOOKUP(H56,'Profit Rules'!$A$3:$B$9,2,TRUE),'Profit Rules'!$E$3))</x:f>
      </x:c>
      <x:c r="K56" s="38"/>
      <x:c r="L56" s="38" t="str">
        <x:f>IF(M56="","",M56-K56)</x:f>
      </x:c>
      <x:c r="M56" s="44" t="str">
        <x:f>IF(K56="","",CEILING(K56+VLOOKUP(K56,'Profit Rules'!$A$3:$B$9,2,TRUE),'Profit Rules'!$E$3))</x:f>
      </x:c>
    </x:row>
    <x:row r="57">
      <x:c r="A57" s="26" t="str">
        <x:v>Samsung</x:v>
      </x:c>
      <x:c r="B57" s="26" t="str">
        <x:v>Galaxy A12</x:v>
      </x:c>
      <x:c r="C57" s="26" t="str">
        <x:v>Samsung Galaxy A12</x:v>
      </x:c>
      <x:c r="D57" s="26" t="str">
        <x:v>128GB</x:v>
      </x:c>
      <x:c r="E57" s="34" t="n">
        <x:v>198.08</x:v>
      </x:c>
      <x:c r="F57" s="34" t="n">
        <x:f>IF(G57="","",G57-E57)</x:f>
        <x:v>46.91999999999999</x:v>
      </x:c>
      <x:c r="G57" s="40" t="n">
        <x:f>IF(E57="","",CEILING(E57+VLOOKUP(E57,'Profit Rules'!$A$3:$B$9,2,TRUE),'Profit Rules'!$E$3))</x:f>
        <x:v>245</x:v>
      </x:c>
      <x:c r="H57" s="36"/>
      <x:c r="I57" s="36" t="str">
        <x:f>IF(J57="","",J57-H57)</x:f>
      </x:c>
      <x:c r="J57" s="42" t="str">
        <x:f>IF(H57="","",CEILING(H57+VLOOKUP(H57,'Profit Rules'!$A$3:$B$9,2,TRUE),'Profit Rules'!$E$3))</x:f>
      </x:c>
      <x:c r="K57" s="38"/>
      <x:c r="L57" s="38" t="str">
        <x:f>IF(M57="","",M57-K57)</x:f>
      </x:c>
      <x:c r="M57" s="44" t="str">
        <x:f>IF(K57="","",CEILING(K57+VLOOKUP(K57,'Profit Rules'!$A$3:$B$9,2,TRUE),'Profit Rules'!$E$3))</x:f>
      </x:c>
    </x:row>
    <x:row r="58">
      <x:c r="A58" s="26" t="str">
        <x:v>Samsung</x:v>
      </x:c>
      <x:c r="B58" s="26" t="str">
        <x:v>Galaxy A13</x:v>
      </x:c>
      <x:c r="C58" s="26" t="str">
        <x:v>Samsung Galaxy A13 (5G)</x:v>
      </x:c>
      <x:c r="D58" s="26" t="str">
        <x:v>64GB</x:v>
      </x:c>
      <x:c r="E58" s="34" t="n">
        <x:v>170.38</x:v>
      </x:c>
      <x:c r="F58" s="34" t="n">
        <x:f>IF(G58="","",G58-E58)</x:f>
        <x:v>49.620000000000005</x:v>
      </x:c>
      <x:c r="G58" s="40" t="n">
        <x:f>IF(E58="","",CEILING(E58+VLOOKUP(E58,'Profit Rules'!$A$3:$B$9,2,TRUE),'Profit Rules'!$E$3))</x:f>
        <x:v>220</x:v>
      </x:c>
      <x:c r="H58" s="36"/>
      <x:c r="I58" s="36" t="str">
        <x:f>IF(J58="","",J58-H58)</x:f>
      </x:c>
      <x:c r="J58" s="42" t="str">
        <x:f>IF(H58="","",CEILING(H58+VLOOKUP(H58,'Profit Rules'!$A$3:$B$9,2,TRUE),'Profit Rules'!$E$3))</x:f>
      </x:c>
      <x:c r="K58" s="38"/>
      <x:c r="L58" s="38" t="str">
        <x:f>IF(M58="","",M58-K58)</x:f>
      </x:c>
      <x:c r="M58" s="44" t="str">
        <x:f>IF(K58="","",CEILING(K58+VLOOKUP(K58,'Profit Rules'!$A$3:$B$9,2,TRUE),'Profit Rules'!$E$3))</x:f>
      </x:c>
    </x:row>
    <x:row r="59">
      <x:c r="A59" s="26" t="str">
        <x:v>Samsung</x:v>
      </x:c>
      <x:c r="B59" s="26" t="str">
        <x:v>Galaxy A13</x:v>
      </x:c>
      <x:c r="C59" s="26" t="str">
        <x:v>Samsung Galaxy A13 (5G)</x:v>
      </x:c>
      <x:c r="D59" s="26" t="str">
        <x:v>128GB</x:v>
      </x:c>
      <x:c r="E59" s="34" t="n">
        <x:v>192.69</x:v>
      </x:c>
      <x:c r="F59" s="34" t="n">
        <x:f>IF(G59="","",G59-E59)</x:f>
        <x:v>47.31</x:v>
      </x:c>
      <x:c r="G59" s="40" t="n">
        <x:f>IF(E59="","",CEILING(E59+VLOOKUP(E59,'Profit Rules'!$A$3:$B$9,2,TRUE),'Profit Rules'!$E$3))</x:f>
        <x:v>240</x:v>
      </x:c>
      <x:c r="H59" s="36"/>
      <x:c r="I59" s="36" t="str">
        <x:f>IF(J59="","",J59-H59)</x:f>
      </x:c>
      <x:c r="J59" s="42" t="str">
        <x:f>IF(H59="","",CEILING(H59+VLOOKUP(H59,'Profit Rules'!$A$3:$B$9,2,TRUE),'Profit Rules'!$E$3))</x:f>
      </x:c>
      <x:c r="K59" s="38"/>
      <x:c r="L59" s="38" t="str">
        <x:f>IF(M59="","",M59-K59)</x:f>
      </x:c>
      <x:c r="M59" s="44" t="str">
        <x:f>IF(K59="","",CEILING(K59+VLOOKUP(K59,'Profit Rules'!$A$3:$B$9,2,TRUE),'Profit Rules'!$E$3))</x:f>
      </x:c>
    </x:row>
    <x:row r="60">
      <x:c r="A60" s="26" t="str">
        <x:v>Samsung</x:v>
      </x:c>
      <x:c r="B60" s="26" t="str">
        <x:v>Galaxy A14</x:v>
      </x:c>
      <x:c r="C60" s="26" t="str">
        <x:v>Samsung Galaxy A14 (5G)</x:v>
      </x:c>
      <x:c r="D60" s="26" t="str">
        <x:v>64GB</x:v>
      </x:c>
      <x:c r="E60" s="34" t="n">
        <x:v>180.69</x:v>
      </x:c>
      <x:c r="F60" s="34" t="n">
        <x:f>IF(G60="","",G60-E60)</x:f>
        <x:v>49.31</x:v>
      </x:c>
      <x:c r="G60" s="40" t="n">
        <x:f>IF(E60="","",CEILING(E60+VLOOKUP(E60,'Profit Rules'!$A$3:$B$9,2,TRUE),'Profit Rules'!$E$3))</x:f>
        <x:v>230</x:v>
      </x:c>
      <x:c r="H60" s="36"/>
      <x:c r="I60" s="36" t="str">
        <x:f>IF(J60="","",J60-H60)</x:f>
      </x:c>
      <x:c r="J60" s="42" t="str">
        <x:f>IF(H60="","",CEILING(H60+VLOOKUP(H60,'Profit Rules'!$A$3:$B$9,2,TRUE),'Profit Rules'!$E$3))</x:f>
      </x:c>
      <x:c r="K60" s="38"/>
      <x:c r="L60" s="38" t="str">
        <x:f>IF(M60="","",M60-K60)</x:f>
      </x:c>
      <x:c r="M60" s="44" t="str">
        <x:f>IF(K60="","",CEILING(K60+VLOOKUP(K60,'Profit Rules'!$A$3:$B$9,2,TRUE),'Profit Rules'!$E$3))</x:f>
      </x:c>
    </x:row>
    <x:row r="61">
      <x:c r="A61" s="26" t="str">
        <x:v>Samsung</x:v>
      </x:c>
      <x:c r="B61" s="26" t="str">
        <x:v>Galaxy A14</x:v>
      </x:c>
      <x:c r="C61" s="26" t="str">
        <x:v>Samsung Galaxy A14 (5G)</x:v>
      </x:c>
      <x:c r="D61" s="26" t="str">
        <x:v>128GB</x:v>
      </x:c>
      <x:c r="E61" s="34" t="n">
        <x:v>195.77</x:v>
      </x:c>
      <x:c r="F61" s="34" t="n">
        <x:f>IF(G61="","",G61-E61)</x:f>
        <x:v>49.22999999999999</x:v>
      </x:c>
      <x:c r="G61" s="40" t="n">
        <x:f>IF(E61="","",CEILING(E61+VLOOKUP(E61,'Profit Rules'!$A$3:$B$9,2,TRUE),'Profit Rules'!$E$3))</x:f>
        <x:v>245</x:v>
      </x:c>
      <x:c r="H61" s="36"/>
      <x:c r="I61" s="36" t="str">
        <x:f>IF(J61="","",J61-H61)</x:f>
      </x:c>
      <x:c r="J61" s="42" t="str">
        <x:f>IF(H61="","",CEILING(H61+VLOOKUP(H61,'Profit Rules'!$A$3:$B$9,2,TRUE),'Profit Rules'!$E$3))</x:f>
      </x:c>
      <x:c r="K61" s="38"/>
      <x:c r="L61" s="38" t="str">
        <x:f>IF(M61="","",M61-K61)</x:f>
      </x:c>
      <x:c r="M61" s="44" t="str">
        <x:f>IF(K61="","",CEILING(K61+VLOOKUP(K61,'Profit Rules'!$A$3:$B$9,2,TRUE),'Profit Rules'!$E$3))</x:f>
      </x:c>
    </x:row>
    <x:row r="62">
      <x:c r="A62" s="26" t="str">
        <x:v>Samsung</x:v>
      </x:c>
      <x:c r="B62" s="26" t="str">
        <x:v>Galaxy A15</x:v>
      </x:c>
      <x:c r="C62" s="26" t="str">
        <x:v>Samsung Galaxy A15 (5G)</x:v>
      </x:c>
      <x:c r="D62" s="26" t="str">
        <x:v>128GB</x:v>
      </x:c>
      <x:c r="E62" s="34" t="n">
        <x:v>180.69</x:v>
      </x:c>
      <x:c r="F62" s="34" t="n">
        <x:f>IF(G62="","",G62-E62)</x:f>
        <x:v>49.31</x:v>
      </x:c>
      <x:c r="G62" s="40" t="n">
        <x:f>IF(E62="","",CEILING(E62+VLOOKUP(E62,'Profit Rules'!$A$3:$B$9,2,TRUE),'Profit Rules'!$E$3))</x:f>
        <x:v>230</x:v>
      </x:c>
      <x:c r="H62" s="36"/>
      <x:c r="I62" s="36" t="str">
        <x:f>IF(J62="","",J62-H62)</x:f>
      </x:c>
      <x:c r="J62" s="42" t="str">
        <x:f>IF(H62="","",CEILING(H62+VLOOKUP(H62,'Profit Rules'!$A$3:$B$9,2,TRUE),'Profit Rules'!$E$3))</x:f>
      </x:c>
      <x:c r="K62" s="38"/>
      <x:c r="L62" s="38" t="str">
        <x:f>IF(M62="","",M62-K62)</x:f>
      </x:c>
      <x:c r="M62" s="44" t="str">
        <x:f>IF(K62="","",CEILING(K62+VLOOKUP(K62,'Profit Rules'!$A$3:$B$9,2,TRUE),'Profit Rules'!$E$3))</x:f>
      </x:c>
    </x:row>
    <x:row r="63">
      <x:c r="A63" s="26" t="str">
        <x:v>Samsung</x:v>
      </x:c>
      <x:c r="B63" s="26" t="str">
        <x:v>Galaxy A15</x:v>
      </x:c>
      <x:c r="C63" s="26" t="str">
        <x:v>Samsung Galaxy A15 (5G)</x:v>
      </x:c>
      <x:c r="D63" s="26" t="str">
        <x:v>256GB</x:v>
      </x:c>
      <x:c r="E63" s="34" t="n">
        <x:v>195.77</x:v>
      </x:c>
      <x:c r="F63" s="34" t="n">
        <x:f>IF(G63="","",G63-E63)</x:f>
        <x:v>49.22999999999999</x:v>
      </x:c>
      <x:c r="G63" s="40" t="n">
        <x:f>IF(E63="","",CEILING(E63+VLOOKUP(E63,'Profit Rules'!$A$3:$B$9,2,TRUE),'Profit Rules'!$E$3))</x:f>
        <x:v>245</x:v>
      </x:c>
      <x:c r="H63" s="36"/>
      <x:c r="I63" s="36" t="str">
        <x:f>IF(J63="","",J63-H63)</x:f>
      </x:c>
      <x:c r="J63" s="42" t="str">
        <x:f>IF(H63="","",CEILING(H63+VLOOKUP(H63,'Profit Rules'!$A$3:$B$9,2,TRUE),'Profit Rules'!$E$3))</x:f>
      </x:c>
      <x:c r="K63" s="38"/>
      <x:c r="L63" s="38" t="str">
        <x:f>IF(M63="","",M63-K63)</x:f>
      </x:c>
      <x:c r="M63" s="44" t="str">
        <x:f>IF(K63="","",CEILING(K63+VLOOKUP(K63,'Profit Rules'!$A$3:$B$9,2,TRUE),'Profit Rules'!$E$3))</x:f>
      </x:c>
    </x:row>
    <x:row r="64">
      <x:c r="A64" s="26" t="str">
        <x:v>Samsung</x:v>
      </x:c>
      <x:c r="B64" s="26" t="str">
        <x:v>Galaxy A16</x:v>
      </x:c>
      <x:c r="C64" s="26" t="str">
        <x:v>Samsung Galaxy A16 (5G)</x:v>
      </x:c>
      <x:c r="D64" s="26" t="str">
        <x:v>128GB</x:v>
      </x:c>
      <x:c r="E64" s="34" t="n">
        <x:v>218.38</x:v>
      </x:c>
      <x:c r="F64" s="34" t="n">
        <x:f>IF(G64="","",G64-E64)</x:f>
        <x:v>46.620000000000005</x:v>
      </x:c>
      <x:c r="G64" s="40" t="n">
        <x:f>IF(E64="","",CEILING(E64+VLOOKUP(E64,'Profit Rules'!$A$3:$B$9,2,TRUE),'Profit Rules'!$E$3))</x:f>
        <x:v>265</x:v>
      </x:c>
      <x:c r="H64" s="36"/>
      <x:c r="I64" s="36" t="str">
        <x:f>IF(J64="","",J64-H64)</x:f>
      </x:c>
      <x:c r="J64" s="42" t="str">
        <x:f>IF(H64="","",CEILING(H64+VLOOKUP(H64,'Profit Rules'!$A$3:$B$9,2,TRUE),'Profit Rules'!$E$3))</x:f>
      </x:c>
      <x:c r="K64" s="38"/>
      <x:c r="L64" s="38" t="str">
        <x:f>IF(M64="","",M64-K64)</x:f>
      </x:c>
      <x:c r="M64" s="44" t="str">
        <x:f>IF(K64="","",CEILING(K64+VLOOKUP(K64,'Profit Rules'!$A$3:$B$9,2,TRUE),'Profit Rules'!$E$3))</x:f>
      </x:c>
    </x:row>
    <x:row r="65">
      <x:c r="A65" s="26" t="str">
        <x:v>Samsung</x:v>
      </x:c>
      <x:c r="B65" s="26" t="str">
        <x:v>Galaxy A16</x:v>
      </x:c>
      <x:c r="C65" s="26" t="str">
        <x:v>Samsung Galaxy A16 (5G)</x:v>
      </x:c>
      <x:c r="D65" s="26" t="str">
        <x:v>256GB</x:v>
      </x:c>
      <x:c r="E65" s="34" t="n">
        <x:v>241.15</x:v>
      </x:c>
      <x:c r="F65" s="34" t="n">
        <x:f>IF(G65="","",G65-E65)</x:f>
        <x:v>48.849999999999994</x:v>
      </x:c>
      <x:c r="G65" s="40" t="n">
        <x:f>IF(E65="","",CEILING(E65+VLOOKUP(E65,'Profit Rules'!$A$3:$B$9,2,TRUE),'Profit Rules'!$E$3))</x:f>
        <x:v>290</x:v>
      </x:c>
      <x:c r="H65" s="36"/>
      <x:c r="I65" s="36" t="str">
        <x:f>IF(J65="","",J65-H65)</x:f>
      </x:c>
      <x:c r="J65" s="42" t="str">
        <x:f>IF(H65="","",CEILING(H65+VLOOKUP(H65,'Profit Rules'!$A$3:$B$9,2,TRUE),'Profit Rules'!$E$3))</x:f>
      </x:c>
      <x:c r="K65" s="38"/>
      <x:c r="L65" s="38" t="str">
        <x:f>IF(M65="","",M65-K65)</x:f>
      </x:c>
      <x:c r="M65" s="44" t="str">
        <x:f>IF(K65="","",CEILING(K65+VLOOKUP(K65,'Profit Rules'!$A$3:$B$9,2,TRUE),'Profit Rules'!$E$3))</x:f>
      </x:c>
    </x:row>
    <x:row r="66">
      <x:c r="A66" s="26" t="str">
        <x:v>Samsung</x:v>
      </x:c>
      <x:c r="B66" s="26" t="str">
        <x:v>Galaxy A32</x:v>
      </x:c>
      <x:c r="C66" s="26" t="str">
        <x:v>Samsung Galaxy A32 (5G)</x:v>
      </x:c>
      <x:c r="D66" s="26" t="str">
        <x:v>64GB</x:v>
      </x:c>
      <x:c r="E66" s="34" t="n">
        <x:v>231.92</x:v>
      </x:c>
      <x:c r="F66" s="34" t="n">
        <x:f>IF(G66="","",G66-E66)</x:f>
        <x:v>48.08000000000001</x:v>
      </x:c>
      <x:c r="G66" s="40" t="n">
        <x:f>IF(E66="","",CEILING(E66+VLOOKUP(E66,'Profit Rules'!$A$3:$B$9,2,TRUE),'Profit Rules'!$E$3))</x:f>
        <x:v>280</x:v>
      </x:c>
      <x:c r="H66" s="36"/>
      <x:c r="I66" s="36" t="str">
        <x:f>IF(J66="","",J66-H66)</x:f>
      </x:c>
      <x:c r="J66" s="42" t="str">
        <x:f>IF(H66="","",CEILING(H66+VLOOKUP(H66,'Profit Rules'!$A$3:$B$9,2,TRUE),'Profit Rules'!$E$3))</x:f>
      </x:c>
      <x:c r="K66" s="38"/>
      <x:c r="L66" s="38" t="str">
        <x:f>IF(M66="","",M66-K66)</x:f>
      </x:c>
      <x:c r="M66" s="44" t="str">
        <x:f>IF(K66="","",CEILING(K66+VLOOKUP(K66,'Profit Rules'!$A$3:$B$9,2,TRUE),'Profit Rules'!$E$3))</x:f>
      </x:c>
    </x:row>
    <x:row r="67">
      <x:c r="A67" s="26" t="str">
        <x:v>Samsung</x:v>
      </x:c>
      <x:c r="B67" s="26" t="str">
        <x:v>Galaxy A32</x:v>
      </x:c>
      <x:c r="C67" s="26" t="str">
        <x:v>Samsung Galaxy A32 (5G)</x:v>
      </x:c>
      <x:c r="D67" s="26" t="str">
        <x:v>128GB</x:v>
      </x:c>
      <x:c r="E67" s="34" t="n">
        <x:v>245.77</x:v>
      </x:c>
      <x:c r="F67" s="34" t="n">
        <x:f>IF(G67="","",G67-E67)</x:f>
        <x:v>49.22999999999999</x:v>
      </x:c>
      <x:c r="G67" s="40" t="n">
        <x:f>IF(E67="","",CEILING(E67+VLOOKUP(E67,'Profit Rules'!$A$3:$B$9,2,TRUE),'Profit Rules'!$E$3))</x:f>
        <x:v>295</x:v>
      </x:c>
      <x:c r="H67" s="36"/>
      <x:c r="I67" s="36" t="str">
        <x:f>IF(J67="","",J67-H67)</x:f>
      </x:c>
      <x:c r="J67" s="42" t="str">
        <x:f>IF(H67="","",CEILING(H67+VLOOKUP(H67,'Profit Rules'!$A$3:$B$9,2,TRUE),'Profit Rules'!$E$3))</x:f>
      </x:c>
      <x:c r="K67" s="38"/>
      <x:c r="L67" s="38" t="str">
        <x:f>IF(M67="","",M67-K67)</x:f>
      </x:c>
      <x:c r="M67" s="44" t="str">
        <x:f>IF(K67="","",CEILING(K67+VLOOKUP(K67,'Profit Rules'!$A$3:$B$9,2,TRUE),'Profit Rules'!$E$3))</x:f>
      </x:c>
    </x:row>
    <x:row r="68">
      <x:c r="A68" s="26" t="str">
        <x:v>Samsung</x:v>
      </x:c>
      <x:c r="B68" s="26" t="str">
        <x:v>Galaxy A51</x:v>
      </x:c>
      <x:c r="C68" s="26" t="str">
        <x:v>Samsung Galaxy A51 (5G)</x:v>
      </x:c>
      <x:c r="D68" s="26" t="str">
        <x:v>128GB</x:v>
      </x:c>
      <x:c r="E68" s="34" t="n">
        <x:v>145</x:v>
      </x:c>
      <x:c r="F68" s="34" t="n">
        <x:f>IF(G68="","",G68-E68)</x:f>
        <x:v>35</x:v>
      </x:c>
      <x:c r="G68" s="40" t="n">
        <x:f>IF(E68="","",CEILING(E68+VLOOKUP(E68,'Profit Rules'!$A$3:$B$9,2,TRUE),'Profit Rules'!$E$3))</x:f>
        <x:v>180</x:v>
      </x:c>
      <x:c r="H68" s="36"/>
      <x:c r="I68" s="36" t="str">
        <x:f>IF(J68="","",J68-H68)</x:f>
      </x:c>
      <x:c r="J68" s="42" t="str">
        <x:f>IF(H68="","",CEILING(H68+VLOOKUP(H68,'Profit Rules'!$A$3:$B$9,2,TRUE),'Profit Rules'!$E$3))</x:f>
      </x:c>
      <x:c r="K68" s="38"/>
      <x:c r="L68" s="38" t="str">
        <x:f>IF(M68="","",M68-K68)</x:f>
      </x:c>
      <x:c r="M68" s="44" t="str">
        <x:f>IF(K68="","",CEILING(K68+VLOOKUP(K68,'Profit Rules'!$A$3:$B$9,2,TRUE),'Profit Rules'!$E$3))</x:f>
      </x:c>
    </x:row>
    <x:row r="69">
      <x:c r="A69" s="26" t="str">
        <x:v>Samsung</x:v>
      </x:c>
      <x:c r="B69" s="26" t="str">
        <x:v>Galaxy A52</x:v>
      </x:c>
      <x:c r="C69" s="26" t="str">
        <x:v>Samsung Galaxy A52 (5G)</x:v>
      </x:c>
      <x:c r="D69" s="26" t="str">
        <x:v>128GB</x:v>
      </x:c>
      <x:c r="E69" s="34" t="n">
        <x:v>165.77</x:v>
      </x:c>
      <x:c r="F69" s="34" t="n">
        <x:f>IF(G69="","",G69-E69)</x:f>
        <x:v>49.22999999999999</x:v>
      </x:c>
      <x:c r="G69" s="40" t="n">
        <x:f>IF(E69="","",CEILING(E69+VLOOKUP(E69,'Profit Rules'!$A$3:$B$9,2,TRUE),'Profit Rules'!$E$3))</x:f>
        <x:v>215</x:v>
      </x:c>
      <x:c r="H69" s="36"/>
      <x:c r="I69" s="36" t="str">
        <x:f>IF(J69="","",J69-H69)</x:f>
      </x:c>
      <x:c r="J69" s="42" t="str">
        <x:f>IF(H69="","",CEILING(H69+VLOOKUP(H69,'Profit Rules'!$A$3:$B$9,2,TRUE),'Profit Rules'!$E$3))</x:f>
      </x:c>
      <x:c r="K69" s="38"/>
      <x:c r="L69" s="38" t="str">
        <x:f>IF(M69="","",M69-K69)</x:f>
      </x:c>
      <x:c r="M69" s="44" t="str">
        <x:f>IF(K69="","",CEILING(K69+VLOOKUP(K69,'Profit Rules'!$A$3:$B$9,2,TRUE),'Profit Rules'!$E$3))</x:f>
      </x:c>
    </x:row>
    <x:row r="70">
      <x:c r="A70" s="26" t="str">
        <x:v>Samsung</x:v>
      </x:c>
      <x:c r="B70" s="26" t="str">
        <x:v>Galaxy A52</x:v>
      </x:c>
      <x:c r="C70" s="26" t="str">
        <x:v>Samsung Galaxy A52 (5G)</x:v>
      </x:c>
      <x:c r="D70" s="26" t="str">
        <x:v>256GB</x:v>
      </x:c>
      <x:c r="E70" s="34" t="n">
        <x:v>195</x:v>
      </x:c>
      <x:c r="F70" s="34" t="n">
        <x:f>IF(G70="","",G70-E70)</x:f>
        <x:v>45</x:v>
      </x:c>
      <x:c r="G70" s="40" t="n">
        <x:f>IF(E70="","",CEILING(E70+VLOOKUP(E70,'Profit Rules'!$A$3:$B$9,2,TRUE),'Profit Rules'!$E$3))</x:f>
        <x:v>240</x:v>
      </x:c>
      <x:c r="H70" s="36"/>
      <x:c r="I70" s="36" t="str">
        <x:f>IF(J70="","",J70-H70)</x:f>
      </x:c>
      <x:c r="J70" s="42" t="str">
        <x:f>IF(H70="","",CEILING(H70+VLOOKUP(H70,'Profit Rules'!$A$3:$B$9,2,TRUE),'Profit Rules'!$E$3))</x:f>
      </x:c>
      <x:c r="K70" s="38"/>
      <x:c r="L70" s="38" t="str">
        <x:f>IF(M70="","",M70-K70)</x:f>
      </x:c>
      <x:c r="M70" s="44" t="str">
        <x:f>IF(K70="","",CEILING(K70+VLOOKUP(K70,'Profit Rules'!$A$3:$B$9,2,TRUE),'Profit Rules'!$E$3))</x:f>
      </x:c>
    </x:row>
    <x:row r="71">
      <x:c r="A71" s="26" t="str">
        <x:v>Samsung</x:v>
      </x:c>
      <x:c r="B71" s="26" t="str">
        <x:v>Galaxy A52</x:v>
      </x:c>
      <x:c r="C71" s="26" t="str">
        <x:v>Samsung Galaxy A52s (5G)</x:v>
      </x:c>
      <x:c r="D71" s="26" t="str">
        <x:v>128GB</x:v>
      </x:c>
      <x:c r="E71" s="34" t="n">
        <x:v>207.31</x:v>
      </x:c>
      <x:c r="F71" s="34" t="n">
        <x:f>IF(G71="","",G71-E71)</x:f>
        <x:v>47.69</x:v>
      </x:c>
      <x:c r="G71" s="40" t="n">
        <x:f>IF(E71="","",CEILING(E71+VLOOKUP(E71,'Profit Rules'!$A$3:$B$9,2,TRUE),'Profit Rules'!$E$3))</x:f>
        <x:v>255</x:v>
      </x:c>
      <x:c r="H71" s="36"/>
      <x:c r="I71" s="36" t="str">
        <x:f>IF(J71="","",J71-H71)</x:f>
      </x:c>
      <x:c r="J71" s="42" t="str">
        <x:f>IF(H71="","",CEILING(H71+VLOOKUP(H71,'Profit Rules'!$A$3:$B$9,2,TRUE),'Profit Rules'!$E$3))</x:f>
      </x:c>
      <x:c r="K71" s="38"/>
      <x:c r="L71" s="38" t="str">
        <x:f>IF(M71="","",M71-K71)</x:f>
      </x:c>
      <x:c r="M71" s="44" t="str">
        <x:f>IF(K71="","",CEILING(K71+VLOOKUP(K71,'Profit Rules'!$A$3:$B$9,2,TRUE),'Profit Rules'!$E$3))</x:f>
      </x:c>
    </x:row>
    <x:row r="72">
      <x:c r="A72" s="26" t="str">
        <x:v>Samsung</x:v>
      </x:c>
      <x:c r="B72" s="26" t="str">
        <x:v>Galaxy A52</x:v>
      </x:c>
      <x:c r="C72" s="26" t="str">
        <x:v>Samsung Galaxy A52s (5G)</x:v>
      </x:c>
      <x:c r="D72" s="26" t="str">
        <x:v>256GB</x:v>
      </x:c>
      <x:c r="E72" s="34" t="n">
        <x:v>236.54</x:v>
      </x:c>
      <x:c r="F72" s="34" t="n">
        <x:f>IF(G72="","",G72-E72)</x:f>
        <x:v>48.46000000000001</x:v>
      </x:c>
      <x:c r="G72" s="40" t="n">
        <x:f>IF(E72="","",CEILING(E72+VLOOKUP(E72,'Profit Rules'!$A$3:$B$9,2,TRUE),'Profit Rules'!$E$3))</x:f>
        <x:v>285</x:v>
      </x:c>
      <x:c r="H72" s="36"/>
      <x:c r="I72" s="36" t="str">
        <x:f>IF(J72="","",J72-H72)</x:f>
      </x:c>
      <x:c r="J72" s="42" t="str">
        <x:f>IF(H72="","",CEILING(H72+VLOOKUP(H72,'Profit Rules'!$A$3:$B$9,2,TRUE),'Profit Rules'!$E$3))</x:f>
      </x:c>
      <x:c r="K72" s="38"/>
      <x:c r="L72" s="38" t="str">
        <x:f>IF(M72="","",M72-K72)</x:f>
      </x:c>
      <x:c r="M72" s="44" t="str">
        <x:f>IF(K72="","",CEILING(K72+VLOOKUP(K72,'Profit Rules'!$A$3:$B$9,2,TRUE),'Profit Rules'!$E$3))</x:f>
      </x:c>
    </x:row>
    <x:row r="73">
      <x:c r="A73" s="26" t="str">
        <x:v>Samsung</x:v>
      </x:c>
      <x:c r="B73" s="26" t="str">
        <x:v>Galaxy Note 10</x:v>
      </x:c>
      <x:c r="C73" s="26" t="str">
        <x:v>Samsung Galaxy Note 10 (5G)</x:v>
      </x:c>
      <x:c r="D73" s="26" t="str">
        <x:v>256GB</x:v>
      </x:c>
      <x:c r="E73" s="34" t="n">
        <x:v>208.85</x:v>
      </x:c>
      <x:c r="F73" s="34" t="n">
        <x:f>IF(G73="","",G73-E73)</x:f>
        <x:v>46.150000000000006</x:v>
      </x:c>
      <x:c r="G73" s="40" t="n">
        <x:f>IF(E73="","",CEILING(E73+VLOOKUP(E73,'Profit Rules'!$A$3:$B$9,2,TRUE),'Profit Rules'!$E$3))</x:f>
        <x:v>255</x:v>
      </x:c>
      <x:c r="H73" s="36"/>
      <x:c r="I73" s="36" t="str">
        <x:f>IF(J73="","",J73-H73)</x:f>
      </x:c>
      <x:c r="J73" s="42" t="str">
        <x:f>IF(H73="","",CEILING(H73+VLOOKUP(H73,'Profit Rules'!$A$3:$B$9,2,TRUE),'Profit Rules'!$E$3))</x:f>
      </x:c>
      <x:c r="K73" s="38" t="n">
        <x:v>179.62</x:v>
      </x:c>
      <x:c r="L73" s="38" t="n">
        <x:f>IF(M73="","",M73-K73)</x:f>
        <x:v>45.379999999999995</x:v>
      </x:c>
      <x:c r="M73" s="44" t="n">
        <x:f>IF(K73="","",CEILING(K73+VLOOKUP(K73,'Profit Rules'!$A$3:$B$9,2,TRUE),'Profit Rules'!$E$3))</x:f>
        <x:v>225</x:v>
      </x:c>
    </x:row>
    <x:row r="74">
      <x:c r="A74" s="26" t="str">
        <x:v>Samsung</x:v>
      </x:c>
      <x:c r="B74" s="26" t="str">
        <x:v>Galaxy Note 10</x:v>
      </x:c>
      <x:c r="C74" s="26" t="str">
        <x:v>Samsung Galaxy Note 10+ (5G)</x:v>
      </x:c>
      <x:c r="D74" s="26" t="str">
        <x:v>256GB</x:v>
      </x:c>
      <x:c r="E74" s="34" t="n">
        <x:v>265.92</x:v>
      </x:c>
      <x:c r="F74" s="34" t="n">
        <x:f>IF(G74="","",G74-E74)</x:f>
        <x:v>64.07999999999998</x:v>
      </x:c>
      <x:c r="G74" s="40" t="n">
        <x:f>IF(E74="","",CEILING(E74+VLOOKUP(E74,'Profit Rules'!$A$3:$B$9,2,TRUE),'Profit Rules'!$E$3))</x:f>
        <x:v>330</x:v>
      </x:c>
      <x:c r="H74" s="36"/>
      <x:c r="I74" s="36" t="str">
        <x:f>IF(J74="","",J74-H74)</x:f>
      </x:c>
      <x:c r="J74" s="42" t="str">
        <x:f>IF(H74="","",CEILING(H74+VLOOKUP(H74,'Profit Rules'!$A$3:$B$9,2,TRUE),'Profit Rules'!$E$3))</x:f>
      </x:c>
      <x:c r="K74" s="38"/>
      <x:c r="L74" s="38" t="str">
        <x:f>IF(M74="","",M74-K74)</x:f>
      </x:c>
      <x:c r="M74" s="44" t="str">
        <x:f>IF(K74="","",CEILING(K74+VLOOKUP(K74,'Profit Rules'!$A$3:$B$9,2,TRUE),'Profit Rules'!$E$3))</x:f>
      </x:c>
    </x:row>
    <x:row r="75">
      <x:c r="A75" s="26" t="str">
        <x:v>Samsung</x:v>
      </x:c>
      <x:c r="B75" s="26" t="str">
        <x:v>Galaxy Note 20</x:v>
      </x:c>
      <x:c r="C75" s="26" t="str">
        <x:v>Samsung Galaxy Note 20 (5G)</x:v>
      </x:c>
      <x:c r="D75" s="26" t="str">
        <x:v>256GB</x:v>
      </x:c>
      <x:c r="E75" s="34" t="n">
        <x:v>296.54</x:v>
      </x:c>
      <x:c r="F75" s="34" t="n">
        <x:f>IF(G75="","",G75-E75)</x:f>
        <x:v>63.45999999999998</x:v>
      </x:c>
      <x:c r="G75" s="40" t="n">
        <x:f>IF(E75="","",CEILING(E75+VLOOKUP(E75,'Profit Rules'!$A$3:$B$9,2,TRUE),'Profit Rules'!$E$3))</x:f>
        <x:v>360</x:v>
      </x:c>
      <x:c r="H75" s="36"/>
      <x:c r="I75" s="36" t="str">
        <x:f>IF(J75="","",J75-H75)</x:f>
      </x:c>
      <x:c r="J75" s="42" t="str">
        <x:f>IF(H75="","",CEILING(H75+VLOOKUP(H75,'Profit Rules'!$A$3:$B$9,2,TRUE),'Profit Rules'!$E$3))</x:f>
      </x:c>
      <x:c r="K75" s="38" t="n">
        <x:v>218.54</x:v>
      </x:c>
      <x:c r="L75" s="38" t="n">
        <x:f>IF(M75="","",M75-K75)</x:f>
        <x:v>46.46000000000001</x:v>
      </x:c>
      <x:c r="M75" s="44" t="n">
        <x:f>IF(K75="","",CEILING(K75+VLOOKUP(K75,'Profit Rules'!$A$3:$B$9,2,TRUE),'Profit Rules'!$E$3))</x:f>
        <x:v>265</x:v>
      </x:c>
    </x:row>
    <x:row r="76">
      <x:c r="A76" s="26" t="str">
        <x:v>Samsung</x:v>
      </x:c>
      <x:c r="B76" s="26" t="str">
        <x:v>Galaxy Note 20</x:v>
      </x:c>
      <x:c r="C76" s="26" t="str">
        <x:v>Samsung Galaxy Note 20 Ultra (5G)</x:v>
      </x:c>
      <x:c r="D76" s="26" t="str">
        <x:v>256GB</x:v>
      </x:c>
      <x:c r="E76" s="34" t="n">
        <x:v>365.77</x:v>
      </x:c>
      <x:c r="F76" s="34" t="n">
        <x:f>IF(G76="","",G76-E76)</x:f>
        <x:v>64.23000000000002</x:v>
      </x:c>
      <x:c r="G76" s="40" t="n">
        <x:f>IF(E76="","",CEILING(E76+VLOOKUP(E76,'Profit Rules'!$A$3:$B$9,2,TRUE),'Profit Rules'!$E$3))</x:f>
        <x:v>430</x:v>
      </x:c>
      <x:c r="H76" s="36" t="n">
        <x:v>275</x:v>
      </x:c>
      <x:c r="I76" s="36" t="n">
        <x:f>IF(J76="","",J76-H76)</x:f>
        <x:v>60</x:v>
      </x:c>
      <x:c r="J76" s="42" t="n">
        <x:f>IF(H76="","",CEILING(H76+VLOOKUP(H76,'Profit Rules'!$A$3:$B$9,2,TRUE),'Profit Rules'!$E$3))</x:f>
        <x:v>335</x:v>
      </x:c>
      <x:c r="K76" s="38"/>
      <x:c r="L76" s="38" t="str">
        <x:f>IF(M76="","",M76-K76)</x:f>
      </x:c>
      <x:c r="M76" s="44" t="str">
        <x:f>IF(K76="","",CEILING(K76+VLOOKUP(K76,'Profit Rules'!$A$3:$B$9,2,TRUE),'Profit Rules'!$E$3))</x:f>
      </x:c>
    </x:row>
    <x:row r="77">
      <x:c r="A77" s="26" t="str">
        <x:v>Samsung</x:v>
      </x:c>
      <x:c r="B77" s="26" t="str">
        <x:v>Galaxy Note 20</x:v>
      </x:c>
      <x:c r="C77" s="26" t="str">
        <x:v>Samsung Galaxy Note 20 Ultra (5G)</x:v>
      </x:c>
      <x:c r="D77" s="26" t="str">
        <x:v>512GB</x:v>
      </x:c>
      <x:c r="E77" s="34" t="n">
        <x:v>450.38</x:v>
      </x:c>
      <x:c r="F77" s="34" t="n">
        <x:f>IF(G77="","",G77-E77)</x:f>
        <x:v>84.62</x:v>
      </x:c>
      <x:c r="G77" s="40" t="n">
        <x:f>IF(E77="","",CEILING(E77+VLOOKUP(E77,'Profit Rules'!$A$3:$B$9,2,TRUE),'Profit Rules'!$E$3))</x:f>
        <x:v>535</x:v>
      </x:c>
      <x:c r="H77" s="36" t="n">
        <x:v>360.38</x:v>
      </x:c>
      <x:c r="I77" s="36" t="n">
        <x:f>IF(J77="","",J77-H77)</x:f>
        <x:v>64.62</x:v>
      </x:c>
      <x:c r="J77" s="42" t="n">
        <x:f>IF(H77="","",CEILING(H77+VLOOKUP(H77,'Profit Rules'!$A$3:$B$9,2,TRUE),'Profit Rules'!$E$3))</x:f>
        <x:v>425</x:v>
      </x:c>
      <x:c r="K77" s="38"/>
      <x:c r="L77" s="38" t="str">
        <x:f>IF(M77="","",M77-K77)</x:f>
      </x:c>
      <x:c r="M77" s="44" t="str">
        <x:f>IF(K77="","",CEILING(K77+VLOOKUP(K77,'Profit Rules'!$A$3:$B$9,2,TRUE),'Profit Rules'!$E$3))</x:f>
      </x:c>
    </x:row>
    <x:row r="78">
      <x:c r="A78" s="26" t="str">
        <x:v>Xiaomi / Redmi</x:v>
      </x:c>
      <x:c r="B78" s="26" t="str">
        <x:v>Redmi A3</x:v>
      </x:c>
      <x:c r="C78" s="26" t="str">
        <x:v>Xiaomi Redmi A3</x:v>
      </x:c>
      <x:c r="D78" s="26" t="str">
        <x:v>64GB</x:v>
      </x:c>
      <x:c r="E78" s="34" t="n">
        <x:v>245.77</x:v>
      </x:c>
      <x:c r="F78" s="34" t="n">
        <x:f>IF(G78="","",G78-E78)</x:f>
        <x:v>49.22999999999999</x:v>
      </x:c>
      <x:c r="G78" s="40" t="n">
        <x:f>IF(E78="","",CEILING(E78+VLOOKUP(E78,'Profit Rules'!$A$3:$B$9,2,TRUE),'Profit Rules'!$E$3))</x:f>
        <x:v>295</x:v>
      </x:c>
      <x:c r="H78" s="36"/>
      <x:c r="I78" s="36" t="str">
        <x:f>IF(J78="","",J78-H78)</x:f>
      </x:c>
      <x:c r="J78" s="42" t="str">
        <x:f>IF(H78="","",CEILING(H78+VLOOKUP(H78,'Profit Rules'!$A$3:$B$9,2,TRUE),'Profit Rules'!$E$3))</x:f>
      </x:c>
      <x:c r="K78" s="38"/>
      <x:c r="L78" s="38" t="str">
        <x:f>IF(M78="","",M78-K78)</x:f>
      </x:c>
      <x:c r="M78" s="44" t="str">
        <x:f>IF(K78="","",CEILING(K78+VLOOKUP(K78,'Profit Rules'!$A$3:$B$9,2,TRUE),'Profit Rules'!$E$3))</x:f>
      </x:c>
    </x:row>
    <x:row r="79">
      <x:c r="A79" s="26" t="str">
        <x:v>Xiaomi / Redmi</x:v>
      </x:c>
      <x:c r="B79" s="26" t="str">
        <x:v>Redmi A3</x:v>
      </x:c>
      <x:c r="C79" s="26" t="str">
        <x:v>Xiaomi Redmi A3</x:v>
      </x:c>
      <x:c r="D79" s="26" t="str">
        <x:v>128GB</x:v>
      </x:c>
      <x:c r="E79" s="34" t="n">
        <x:v>299.62</x:v>
      </x:c>
      <x:c r="F79" s="34" t="n">
        <x:f>IF(G79="","",G79-E79)</x:f>
        <x:v>60.379999999999995</x:v>
      </x:c>
      <x:c r="G79" s="40" t="n">
        <x:f>IF(E79="","",CEILING(E79+VLOOKUP(E79,'Profit Rules'!$A$3:$B$9,2,TRUE),'Profit Rules'!$E$3))</x:f>
        <x:v>360</x:v>
      </x:c>
      <x:c r="H79" s="36"/>
      <x:c r="I79" s="36" t="str">
        <x:f>IF(J79="","",J79-H79)</x:f>
      </x:c>
      <x:c r="J79" s="42" t="str">
        <x:f>IF(H79="","",CEILING(H79+VLOOKUP(H79,'Profit Rules'!$A$3:$B$9,2,TRUE),'Profit Rules'!$E$3))</x:f>
      </x:c>
      <x:c r="K79" s="38"/>
      <x:c r="L79" s="38" t="str">
        <x:f>IF(M79="","",M79-K79)</x:f>
      </x:c>
      <x:c r="M79" s="44" t="str">
        <x:f>IF(K79="","",CEILING(K79+VLOOKUP(K79,'Profit Rules'!$A$3:$B$9,2,TRUE),'Profit Rules'!$E$3))</x:f>
      </x:c>
    </x:row>
    <x:row r="80">
      <x:c r="A80" s="26" t="str">
        <x:v>Xiaomi / Redmi</x:v>
      </x:c>
      <x:c r="B80" s="26" t="str">
        <x:v>Redmi A3</x:v>
      </x:c>
      <x:c r="C80" s="26" t="str">
        <x:v>Xiaomi Redmi A3x</x:v>
      </x:c>
      <x:c r="D80" s="26" t="str">
        <x:v>64GB</x:v>
      </x:c>
      <x:c r="E80" s="34" t="n">
        <x:v>505.77</x:v>
      </x:c>
      <x:c r="F80" s="34" t="n">
        <x:f>IF(G80="","",G80-E80)</x:f>
        <x:v>84.23000000000002</x:v>
      </x:c>
      <x:c r="G80" s="40" t="n">
        <x:f>IF(E80="","",CEILING(E80+VLOOKUP(E80,'Profit Rules'!$A$3:$B$9,2,TRUE),'Profit Rules'!$E$3))</x:f>
        <x:v>590</x:v>
      </x:c>
      <x:c r="H80" s="36"/>
      <x:c r="I80" s="36" t="str">
        <x:f>IF(J80="","",J80-H80)</x:f>
      </x:c>
      <x:c r="J80" s="42" t="str">
        <x:f>IF(H80="","",CEILING(H80+VLOOKUP(H80,'Profit Rules'!$A$3:$B$9,2,TRUE),'Profit Rules'!$E$3))</x:f>
      </x:c>
      <x:c r="K80" s="38"/>
      <x:c r="L80" s="38" t="str">
        <x:f>IF(M80="","",M80-K80)</x:f>
      </x:c>
      <x:c r="M80" s="44" t="str">
        <x:f>IF(K80="","",CEILING(K80+VLOOKUP(K80,'Profit Rules'!$A$3:$B$9,2,TRUE),'Profit Rules'!$E$3))</x:f>
      </x:c>
    </x:row>
    <x:row r="81">
      <x:c r="A81" s="26" t="str">
        <x:v>Xiaomi / Redmi</x:v>
      </x:c>
      <x:c r="B81" s="26" t="str">
        <x:v>Redmi A3</x:v>
      </x:c>
      <x:c r="C81" s="26" t="str">
        <x:v>Xiaomi Redmi A3x</x:v>
      </x:c>
      <x:c r="D81" s="26" t="str">
        <x:v>128GB</x:v>
      </x:c>
      <x:c r="E81" s="34" t="n">
        <x:v>558.08</x:v>
      </x:c>
      <x:c r="F81" s="34" t="n">
        <x:f>IF(G81="","",G81-E81)</x:f>
        <x:v>81.91999999999996</x:v>
      </x:c>
      <x:c r="G81" s="40" t="n">
        <x:f>IF(E81="","",CEILING(E81+VLOOKUP(E81,'Profit Rules'!$A$3:$B$9,2,TRUE),'Profit Rules'!$E$3))</x:f>
        <x:v>640</x:v>
      </x:c>
      <x:c r="H81" s="36"/>
      <x:c r="I81" s="36" t="str">
        <x:f>IF(J81="","",J81-H81)</x:f>
      </x:c>
      <x:c r="J81" s="42" t="str">
        <x:f>IF(H81="","",CEILING(H81+VLOOKUP(H81,'Profit Rules'!$A$3:$B$9,2,TRUE),'Profit Rules'!$E$3))</x:f>
      </x:c>
      <x:c r="K81" s="38"/>
      <x:c r="L81" s="38" t="str">
        <x:f>IF(M81="","",M81-K81)</x:f>
      </x:c>
      <x:c r="M81" s="44" t="str">
        <x:f>IF(K81="","",CEILING(K81+VLOOKUP(K81,'Profit Rules'!$A$3:$B$9,2,TRUE),'Profit Rules'!$E$3))</x:f>
      </x:c>
    </x:row>
    <x:row r="82">
      <x:c r="A82" s="26" t="str">
        <x:v>Xiaomi / Redmi</x:v>
      </x:c>
      <x:c r="B82" s="26" t="str">
        <x:v>Redmi A3</x:v>
      </x:c>
      <x:c r="C82" s="26" t="str">
        <x:v>Xiaomi Redmi A3 Pro</x:v>
      </x:c>
      <x:c r="D82" s="26" t="str">
        <x:v>128GB</x:v>
      </x:c>
      <x:c r="E82" s="34" t="n">
        <x:v>764.23</x:v>
      </x:c>
      <x:c r="F82" s="34" t="n">
        <x:f>IF(G82="","",G82-E82)</x:f>
        <x:v>110.76999999999998</x:v>
      </x:c>
      <x:c r="G82" s="40" t="n">
        <x:f>IF(E82="","",CEILING(E82+VLOOKUP(E82,'Profit Rules'!$A$3:$B$9,2,TRUE),'Profit Rules'!$E$3))</x:f>
        <x:v>875</x:v>
      </x:c>
      <x:c r="H82" s="36"/>
      <x:c r="I82" s="36" t="str">
        <x:f>IF(J82="","",J82-H82)</x:f>
      </x:c>
      <x:c r="J82" s="42" t="str">
        <x:f>IF(H82="","",CEILING(H82+VLOOKUP(H82,'Profit Rules'!$A$3:$B$9,2,TRUE),'Profit Rules'!$E$3))</x:f>
      </x:c>
      <x:c r="K82" s="38"/>
      <x:c r="L82" s="38" t="str">
        <x:f>IF(M82="","",M82-K82)</x:f>
      </x:c>
      <x:c r="M82" s="44" t="str">
        <x:f>IF(K82="","",CEILING(K82+VLOOKUP(K82,'Profit Rules'!$A$3:$B$9,2,TRUE),'Profit Rules'!$E$3))</x:f>
      </x:c>
    </x:row>
    <x:row r="83">
      <x:c r="A83" s="26" t="str">
        <x:v>Xiaomi / Redmi</x:v>
      </x:c>
      <x:c r="B83" s="26" t="str">
        <x:v>Redmi Note 11</x:v>
      </x:c>
      <x:c r="C83" s="26" t="str">
        <x:v>Xiaomi Redmi Note 11 (5G)</x:v>
      </x:c>
      <x:c r="D83" s="26" t="str">
        <x:v>128GB</x:v>
      </x:c>
      <x:c r="E83" s="34"/>
      <x:c r="F83" s="34" t="str">
        <x:f>IF(G83="","",G83-E83)</x:f>
      </x:c>
      <x:c r="G83" s="40" t="str">
        <x:f>IF(E83="","",CEILING(E83+VLOOKUP(E83,'Profit Rules'!$A$3:$B$9,2,TRUE),'Profit Rules'!$E$3))</x:f>
      </x:c>
      <x:c r="H83" s="36" t="n">
        <x:v>102.69</x:v>
      </x:c>
      <x:c r="I83" s="36" t="n">
        <x:f>IF(J83="","",J83-H83)</x:f>
        <x:v>37.31</x:v>
      </x:c>
      <x:c r="J83" s="42" t="n">
        <x:f>IF(H83="","",CEILING(H83+VLOOKUP(H83,'Profit Rules'!$A$3:$B$9,2,TRUE),'Profit Rules'!$E$3))</x:f>
        <x:v>140</x:v>
      </x:c>
      <x:c r="K83" s="38" t="n">
        <x:v>91.92</x:v>
      </x:c>
      <x:c r="L83" s="38" t="n">
        <x:f>IF(M83="","",M83-K83)</x:f>
        <x:v>38.08</x:v>
      </x:c>
      <x:c r="M83" s="44" t="n">
        <x:f>IF(K83="","",CEILING(K83+VLOOKUP(K83,'Profit Rules'!$A$3:$B$9,2,TRUE),'Profit Rules'!$E$3))</x:f>
        <x:v>130</x:v>
      </x:c>
    </x:row>
    <x:row r="84">
      <x:c r="A84" s="26" t="str">
        <x:v>Xiaomi / Redmi</x:v>
      </x:c>
      <x:c r="B84" s="26" t="str">
        <x:v>Redmi Note 11</x:v>
      </x:c>
      <x:c r="C84" s="26" t="str">
        <x:v>Xiaomi Redmi Note 11 Pro (4G)</x:v>
      </x:c>
      <x:c r="D84" s="26" t="str">
        <x:v>128GB</x:v>
      </x:c>
      <x:c r="E84" s="34"/>
      <x:c r="F84" s="34" t="str">
        <x:f>IF(G84="","",G84-E84)</x:f>
      </x:c>
      <x:c r="G84" s="40" t="str">
        <x:f>IF(E84="","",CEILING(E84+VLOOKUP(E84,'Profit Rules'!$A$3:$B$9,2,TRUE),'Profit Rules'!$E$3))</x:f>
      </x:c>
      <x:c r="H84" s="36" t="n">
        <x:v>116.54</x:v>
      </x:c>
      <x:c r="I84" s="36" t="n">
        <x:f>IF(J84="","",J84-H84)</x:f>
        <x:v>38.459999999999994</x:v>
      </x:c>
      <x:c r="J84" s="42" t="n">
        <x:f>IF(H84="","",CEILING(H84+VLOOKUP(H84,'Profit Rules'!$A$3:$B$9,2,TRUE),'Profit Rules'!$E$3))</x:f>
        <x:v>155</x:v>
      </x:c>
      <x:c r="K84" s="38" t="n">
        <x:v>104.23</x:v>
      </x:c>
      <x:c r="L84" s="38" t="n">
        <x:f>IF(M84="","",M84-K84)</x:f>
        <x:v>35.769999999999996</x:v>
      </x:c>
      <x:c r="M84" s="44" t="n">
        <x:f>IF(K84="","",CEILING(K84+VLOOKUP(K84,'Profit Rules'!$A$3:$B$9,2,TRUE),'Profit Rules'!$E$3))</x:f>
        <x:v>140</x:v>
      </x:c>
    </x:row>
    <x:row r="85">
      <x:c r="A85" s="26" t="str">
        <x:v>Xiaomi / Redmi</x:v>
      </x:c>
      <x:c r="B85" s="26" t="str">
        <x:v>Redmi Note 11</x:v>
      </x:c>
      <x:c r="C85" s="26" t="str">
        <x:v>Xiaomi Redmi Note 11 Pro+ (5G)</x:v>
      </x:c>
      <x:c r="D85" s="26" t="str">
        <x:v>128GB</x:v>
      </x:c>
      <x:c r="E85" s="34"/>
      <x:c r="F85" s="34" t="str">
        <x:f>IF(G85="","",G85-E85)</x:f>
      </x:c>
      <x:c r="G85" s="40" t="str">
        <x:f>IF(E85="","",CEILING(E85+VLOOKUP(E85,'Profit Rules'!$A$3:$B$9,2,TRUE),'Profit Rules'!$E$3))</x:f>
      </x:c>
      <x:c r="H85" s="36" t="n">
        <x:v>119.62</x:v>
      </x:c>
      <x:c r="I85" s="36" t="n">
        <x:f>IF(J85="","",J85-H85)</x:f>
        <x:v>35.379999999999995</x:v>
      </x:c>
      <x:c r="J85" s="42" t="n">
        <x:f>IF(H85="","",CEILING(H85+VLOOKUP(H85,'Profit Rules'!$A$3:$B$9,2,TRUE),'Profit Rules'!$E$3))</x:f>
        <x:v>155</x:v>
      </x:c>
      <x:c r="K85" s="38" t="n">
        <x:v>113.46</x:v>
      </x:c>
      <x:c r="L85" s="38" t="n">
        <x:f>IF(M85="","",M85-K85)</x:f>
        <x:v>36.540000000000006</x:v>
      </x:c>
      <x:c r="M85" s="44" t="n">
        <x:f>IF(K85="","",CEILING(K85+VLOOKUP(K85,'Profit Rules'!$A$3:$B$9,2,TRUE),'Profit Rules'!$E$3))</x:f>
        <x:v>150</x:v>
      </x:c>
    </x:row>
    <x:row r="86">
      <x:c r="A86" s="26" t="str">
        <x:v>Xiaomi / Redmi</x:v>
      </x:c>
      <x:c r="B86" s="26" t="str">
        <x:v>Redmi Note 11</x:v>
      </x:c>
      <x:c r="C86" s="26" t="str">
        <x:v>Xiaomi Redmi Note 11 Pro+ (5G)</x:v>
      </x:c>
      <x:c r="D86" s="26" t="str">
        <x:v>256GB</x:v>
      </x:c>
      <x:c r="E86" s="34"/>
      <x:c r="F86" s="34" t="str">
        <x:f>IF(G86="","",G86-E86)</x:f>
      </x:c>
      <x:c r="G86" s="40" t="str">
        <x:f>IF(E86="","",CEILING(E86+VLOOKUP(E86,'Profit Rules'!$A$3:$B$9,2,TRUE),'Profit Rules'!$E$3))</x:f>
      </x:c>
      <x:c r="H86" s="36" t="n">
        <x:v>127.31</x:v>
      </x:c>
      <x:c r="I86" s="36" t="n">
        <x:f>IF(J86="","",J86-H86)</x:f>
        <x:v>37.69</x:v>
      </x:c>
      <x:c r="J86" s="42" t="n">
        <x:f>IF(H86="","",CEILING(H86+VLOOKUP(H86,'Profit Rules'!$A$3:$B$9,2,TRUE),'Profit Rules'!$E$3))</x:f>
        <x:v>165</x:v>
      </x:c>
      <x:c r="K86" s="38" t="n">
        <x:v>121.15</x:v>
      </x:c>
      <x:c r="L86" s="38" t="n">
        <x:f>IF(M86="","",M86-K86)</x:f>
        <x:v>38.849999999999994</x:v>
      </x:c>
      <x:c r="M86" s="44" t="n">
        <x:f>IF(K86="","",CEILING(K86+VLOOKUP(K86,'Profit Rules'!$A$3:$B$9,2,TRUE),'Profit Rules'!$E$3))</x:f>
        <x:v>160</x:v>
      </x:c>
    </x:row>
    <x:row r="87">
      <x:c r="A87" s="26" t="str">
        <x:v>Xiaomi / Redmi</x:v>
      </x:c>
      <x:c r="B87" s="26" t="str">
        <x:v>Redmi Note 12</x:v>
      </x:c>
      <x:c r="C87" s="26" t="str">
        <x:v>Xiaomi Redmi Note 12 (4G)</x:v>
      </x:c>
      <x:c r="D87" s="26" t="str">
        <x:v>128GB</x:v>
      </x:c>
      <x:c r="E87" s="34"/>
      <x:c r="F87" s="34" t="str">
        <x:f>IF(G87="","",G87-E87)</x:f>
      </x:c>
      <x:c r="G87" s="40" t="str">
        <x:f>IF(E87="","",CEILING(E87+VLOOKUP(E87,'Profit Rules'!$A$3:$B$9,2,TRUE),'Profit Rules'!$E$3))</x:f>
      </x:c>
      <x:c r="H87" s="36" t="n">
        <x:v>98.08</x:v>
      </x:c>
      <x:c r="I87" s="36" t="n">
        <x:f>IF(J87="","",J87-H87)</x:f>
        <x:v>36.92</x:v>
      </x:c>
      <x:c r="J87" s="42" t="n">
        <x:f>IF(H87="","",CEILING(H87+VLOOKUP(H87,'Profit Rules'!$A$3:$B$9,2,TRUE),'Profit Rules'!$E$3))</x:f>
        <x:v>135</x:v>
      </x:c>
      <x:c r="K87" s="38" t="n">
        <x:v>96.54</x:v>
      </x:c>
      <x:c r="L87" s="38" t="n">
        <x:f>IF(M87="","",M87-K87)</x:f>
        <x:v>38.459999999999994</x:v>
      </x:c>
      <x:c r="M87" s="44" t="n">
        <x:f>IF(K87="","",CEILING(K87+VLOOKUP(K87,'Profit Rules'!$A$3:$B$9,2,TRUE),'Profit Rules'!$E$3))</x:f>
        <x:v>135</x:v>
      </x:c>
    </x:row>
    <x:row r="88">
      <x:c r="A88" s="26" t="str">
        <x:v>Xiaomi / Redmi</x:v>
      </x:c>
      <x:c r="B88" s="26" t="str">
        <x:v>Redmi Note 12</x:v>
      </x:c>
      <x:c r="C88" s="26" t="str">
        <x:v>Xiaomi Redmi Note 12 (4G)</x:v>
      </x:c>
      <x:c r="D88" s="26" t="str">
        <x:v>256GB</x:v>
      </x:c>
      <x:c r="E88" s="34"/>
      <x:c r="F88" s="34" t="str">
        <x:f>IF(G88="","",G88-E88)</x:f>
      </x:c>
      <x:c r="G88" s="40" t="str">
        <x:f>IF(E88="","",CEILING(E88+VLOOKUP(E88,'Profit Rules'!$A$3:$B$9,2,TRUE),'Profit Rules'!$E$3))</x:f>
      </x:c>
      <x:c r="H88" s="36" t="n">
        <x:v>105.77</x:v>
      </x:c>
      <x:c r="I88" s="36" t="n">
        <x:f>IF(J88="","",J88-H88)</x:f>
        <x:v>39.230000000000004</x:v>
      </x:c>
      <x:c r="J88" s="42" t="n">
        <x:f>IF(H88="","",CEILING(H88+VLOOKUP(H88,'Profit Rules'!$A$3:$B$9,2,TRUE),'Profit Rules'!$E$3))</x:f>
        <x:v>145</x:v>
      </x:c>
      <x:c r="K88" s="38" t="n">
        <x:v>105.77</x:v>
      </x:c>
      <x:c r="L88" s="38" t="n">
        <x:f>IF(M88="","",M88-K88)</x:f>
        <x:v>39.230000000000004</x:v>
      </x:c>
      <x:c r="M88" s="44" t="n">
        <x:f>IF(K88="","",CEILING(K88+VLOOKUP(K88,'Profit Rules'!$A$3:$B$9,2,TRUE),'Profit Rules'!$E$3))</x:f>
        <x:v>145</x:v>
      </x:c>
    </x:row>
    <x:row r="89">
      <x:c r="A89" s="26" t="str">
        <x:v>Xiaomi / Redmi</x:v>
      </x:c>
      <x:c r="B89" s="26" t="str">
        <x:v>Redmi Note 12</x:v>
      </x:c>
      <x:c r="C89" s="26" t="str">
        <x:v>Xiaomi Redmi Note 12 Pro (4G)</x:v>
      </x:c>
      <x:c r="D89" s="26" t="str">
        <x:v>128GB</x:v>
      </x:c>
      <x:c r="E89" s="34"/>
      <x:c r="F89" s="34" t="str">
        <x:f>IF(G89="","",G89-E89)</x:f>
      </x:c>
      <x:c r="G89" s="40" t="str">
        <x:f>IF(E89="","",CEILING(E89+VLOOKUP(E89,'Profit Rules'!$A$3:$B$9,2,TRUE),'Profit Rules'!$E$3))</x:f>
      </x:c>
      <x:c r="H89" s="36" t="n">
        <x:v>108.85</x:v>
      </x:c>
      <x:c r="I89" s="36" t="n">
        <x:f>IF(J89="","",J89-H89)</x:f>
        <x:v>36.150000000000006</x:v>
      </x:c>
      <x:c r="J89" s="42" t="n">
        <x:f>IF(H89="","",CEILING(H89+VLOOKUP(H89,'Profit Rules'!$A$3:$B$9,2,TRUE),'Profit Rules'!$E$3))</x:f>
        <x:v>145</x:v>
      </x:c>
      <x:c r="K89" s="38" t="n">
        <x:v>104.23</x:v>
      </x:c>
      <x:c r="L89" s="38" t="n">
        <x:f>IF(M89="","",M89-K89)</x:f>
        <x:v>35.769999999999996</x:v>
      </x:c>
      <x:c r="M89" s="44" t="n">
        <x:f>IF(K89="","",CEILING(K89+VLOOKUP(K89,'Profit Rules'!$A$3:$B$9,2,TRUE),'Profit Rules'!$E$3))</x:f>
        <x:v>140</x:v>
      </x:c>
    </x:row>
    <x:row r="90">
      <x:c r="A90" s="26" t="str">
        <x:v>Xiaomi / Redmi</x:v>
      </x:c>
      <x:c r="B90" s="26" t="str">
        <x:v>Redmi Note 12</x:v>
      </x:c>
      <x:c r="C90" s="26" t="str">
        <x:v>Xiaomi Redmi Note 12 Pro (4G)</x:v>
      </x:c>
      <x:c r="D90" s="26" t="str">
        <x:v>256GB</x:v>
      </x:c>
      <x:c r="E90" s="34"/>
      <x:c r="F90" s="34" t="str">
        <x:f>IF(G90="","",G90-E90)</x:f>
      </x:c>
      <x:c r="G90" s="40" t="str">
        <x:f>IF(E90="","",CEILING(E90+VLOOKUP(E90,'Profit Rules'!$A$3:$B$9,2,TRUE),'Profit Rules'!$E$3))</x:f>
      </x:c>
      <x:c r="H90" s="36" t="n">
        <x:v>115</x:v>
      </x:c>
      <x:c r="I90" s="36" t="n">
        <x:f>IF(J90="","",J90-H90)</x:f>
        <x:v>35</x:v>
      </x:c>
      <x:c r="J90" s="42" t="n">
        <x:f>IF(H90="","",CEILING(H90+VLOOKUP(H90,'Profit Rules'!$A$3:$B$9,2,TRUE),'Profit Rules'!$E$3))</x:f>
        <x:v>150</x:v>
      </x:c>
      <x:c r="K90" s="38" t="n">
        <x:v>110.38</x:v>
      </x:c>
      <x:c r="L90" s="38" t="n">
        <x:f>IF(M90="","",M90-K90)</x:f>
        <x:v>39.620000000000005</x:v>
      </x:c>
      <x:c r="M90" s="44" t="n">
        <x:f>IF(K90="","",CEILING(K90+VLOOKUP(K90,'Profit Rules'!$A$3:$B$9,2,TRUE),'Profit Rules'!$E$3))</x:f>
        <x:v>150</x:v>
      </x:c>
    </x:row>
    <x:row r="91">
      <x:c r="A91" s="26" t="str">
        <x:v>Xiaomi / Redmi</x:v>
      </x:c>
      <x:c r="B91" s="26" t="str">
        <x:v>Redmi Note 12</x:v>
      </x:c>
      <x:c r="C91" s="26" t="str">
        <x:v>Xiaomi Redmi Note 12 Pro+ (5G)</x:v>
      </x:c>
      <x:c r="D91" s="26" t="str">
        <x:v>256GB</x:v>
      </x:c>
      <x:c r="E91" s="34"/>
      <x:c r="F91" s="34" t="str">
        <x:f>IF(G91="","",G91-E91)</x:f>
      </x:c>
      <x:c r="G91" s="40" t="str">
        <x:f>IF(E91="","",CEILING(E91+VLOOKUP(E91,'Profit Rules'!$A$3:$B$9,2,TRUE),'Profit Rules'!$E$3))</x:f>
      </x:c>
      <x:c r="H91" s="36" t="n">
        <x:v>116.54</x:v>
      </x:c>
      <x:c r="I91" s="36" t="n">
        <x:f>IF(J91="","",J91-H91)</x:f>
        <x:v>38.459999999999994</x:v>
      </x:c>
      <x:c r="J91" s="42" t="n">
        <x:f>IF(H91="","",CEILING(H91+VLOOKUP(H91,'Profit Rules'!$A$3:$B$9,2,TRUE),'Profit Rules'!$E$3))</x:f>
        <x:v>155</x:v>
      </x:c>
      <x:c r="K91" s="38" t="n">
        <x:v>111.92</x:v>
      </x:c>
      <x:c r="L91" s="38" t="n">
        <x:f>IF(M91="","",M91-K91)</x:f>
        <x:v>38.08</x:v>
      </x:c>
      <x:c r="M91" s="44" t="n">
        <x:f>IF(K91="","",CEILING(K91+VLOOKUP(K91,'Profit Rules'!$A$3:$B$9,2,TRUE),'Profit Rules'!$E$3))</x:f>
        <x:v>150</x:v>
      </x:c>
    </x:row>
    <x:row r="92">
      <x:c r="A92" s="26" t="str">
        <x:v>Xiaomi / Redmi</x:v>
      </x:c>
      <x:c r="B92" s="26" t="str">
        <x:v>Redmi Note 13</x:v>
      </x:c>
      <x:c r="C92" s="26" t="str">
        <x:v>Xiaomi Redmi Note 13 (5G)</x:v>
      </x:c>
      <x:c r="D92" s="26" t="str">
        <x:v>128GB</x:v>
      </x:c>
      <x:c r="E92" s="34"/>
      <x:c r="F92" s="34" t="str">
        <x:f>IF(G92="","",G92-E92)</x:f>
      </x:c>
      <x:c r="G92" s="40" t="str">
        <x:f>IF(E92="","",CEILING(E92+VLOOKUP(E92,'Profit Rules'!$A$3:$B$9,2,TRUE),'Profit Rules'!$E$3))</x:f>
      </x:c>
      <x:c r="H92" s="36" t="n">
        <x:v>141.15</x:v>
      </x:c>
      <x:c r="I92" s="36" t="n">
        <x:f>IF(J92="","",J92-H92)</x:f>
        <x:v>38.849999999999994</x:v>
      </x:c>
      <x:c r="J92" s="42" t="n">
        <x:f>IF(H92="","",CEILING(H92+VLOOKUP(H92,'Profit Rules'!$A$3:$B$9,2,TRUE),'Profit Rules'!$E$3))</x:f>
        <x:v>180</x:v>
      </x:c>
      <x:c r="K92" s="38" t="n">
        <x:v>136.54</x:v>
      </x:c>
      <x:c r="L92" s="38" t="n">
        <x:f>IF(M92="","",M92-K92)</x:f>
        <x:v>38.46000000000001</x:v>
      </x:c>
      <x:c r="M92" s="44" t="n">
        <x:f>IF(K92="","",CEILING(K92+VLOOKUP(K92,'Profit Rules'!$A$3:$B$9,2,TRUE),'Profit Rules'!$E$3))</x:f>
        <x:v>175</x:v>
      </x:c>
    </x:row>
    <x:row r="93">
      <x:c r="A93" s="26" t="str">
        <x:v>Xiaomi / Redmi</x:v>
      </x:c>
      <x:c r="B93" s="26" t="str">
        <x:v>Redmi Note 13</x:v>
      </x:c>
      <x:c r="C93" s="26" t="str">
        <x:v>Xiaomi Redmi Note 13 (5G)</x:v>
      </x:c>
      <x:c r="D93" s="26" t="str">
        <x:v>256GB</x:v>
      </x:c>
      <x:c r="E93" s="34"/>
      <x:c r="F93" s="34" t="str">
        <x:f>IF(G93="","",G93-E93)</x:f>
      </x:c>
      <x:c r="G93" s="40" t="str">
        <x:f>IF(E93="","",CEILING(E93+VLOOKUP(E93,'Profit Rules'!$A$3:$B$9,2,TRUE),'Profit Rules'!$E$3))</x:f>
      </x:c>
      <x:c r="H93" s="36" t="n">
        <x:v>158.08</x:v>
      </x:c>
      <x:c r="I93" s="36" t="n">
        <x:f>IF(J93="","",J93-H93)</x:f>
        <x:v>46.91999999999999</x:v>
      </x:c>
      <x:c r="J93" s="42" t="n">
        <x:f>IF(H93="","",CEILING(H93+VLOOKUP(H93,'Profit Rules'!$A$3:$B$9,2,TRUE),'Profit Rules'!$E$3))</x:f>
        <x:v>205</x:v>
      </x:c>
      <x:c r="K93" s="38" t="n">
        <x:v>153.46</x:v>
      </x:c>
      <x:c r="L93" s="38" t="n">
        <x:f>IF(M93="","",M93-K93)</x:f>
        <x:v>46.53999999999999</x:v>
      </x:c>
      <x:c r="M93" s="44" t="n">
        <x:f>IF(K93="","",CEILING(K93+VLOOKUP(K93,'Profit Rules'!$A$3:$B$9,2,TRUE),'Profit Rules'!$E$3))</x:f>
        <x:v>200</x:v>
      </x:c>
    </x:row>
    <x:row r="94">
      <x:c r="A94" s="26" t="str">
        <x:v>Xiaomi / Redmi</x:v>
      </x:c>
      <x:c r="B94" s="26" t="str">
        <x:v>Redmi Note 13</x:v>
      </x:c>
      <x:c r="C94" s="26" t="str">
        <x:v>Xiaomi Redmi Note 13 Pro (5G)</x:v>
      </x:c>
      <x:c r="D94" s="26" t="str">
        <x:v>128GB</x:v>
      </x:c>
      <x:c r="E94" s="34" t="n">
        <x:v>255</x:v>
      </x:c>
      <x:c r="F94" s="34" t="n">
        <x:f>IF(G94="","",G94-E94)</x:f>
        <x:v>60</x:v>
      </x:c>
      <x:c r="G94" s="40" t="n">
        <x:f>IF(E94="","",CEILING(E94+VLOOKUP(E94,'Profit Rules'!$A$3:$B$9,2,TRUE),'Profit Rules'!$E$3))</x:f>
        <x:v>315</x:v>
      </x:c>
      <x:c r="H94" s="36" t="n">
        <x:v>156.54</x:v>
      </x:c>
      <x:c r="I94" s="36" t="n">
        <x:f>IF(J94="","",J94-H94)</x:f>
        <x:v>48.46000000000001</x:v>
      </x:c>
      <x:c r="J94" s="42" t="n">
        <x:f>IF(H94="","",CEILING(H94+VLOOKUP(H94,'Profit Rules'!$A$3:$B$9,2,TRUE),'Profit Rules'!$E$3))</x:f>
        <x:v>205</x:v>
      </x:c>
      <x:c r="K94" s="38" t="n">
        <x:v>142.69</x:v>
      </x:c>
      <x:c r="L94" s="38" t="n">
        <x:f>IF(M94="","",M94-K94)</x:f>
        <x:v>37.31</x:v>
      </x:c>
      <x:c r="M94" s="44" t="n">
        <x:f>IF(K94="","",CEILING(K94+VLOOKUP(K94,'Profit Rules'!$A$3:$B$9,2,TRUE),'Profit Rules'!$E$3))</x:f>
        <x:v>180</x:v>
      </x:c>
    </x:row>
    <x:row r="95">
      <x:c r="A95" s="26" t="str">
        <x:v>Xiaomi / Redmi</x:v>
      </x:c>
      <x:c r="B95" s="26" t="str">
        <x:v>Redmi Note 13</x:v>
      </x:c>
      <x:c r="C95" s="26" t="str">
        <x:v>Xiaomi Redmi Note 13 Pro (5G)</x:v>
      </x:c>
      <x:c r="D95" s="26" t="str">
        <x:v>256GB</x:v>
      </x:c>
      <x:c r="E95" s="34" t="n">
        <x:v>276.54</x:v>
      </x:c>
      <x:c r="F95" s="34" t="n">
        <x:f>IF(G95="","",G95-E95)</x:f>
        <x:v>63.45999999999998</x:v>
      </x:c>
      <x:c r="G95" s="40" t="n">
        <x:f>IF(E95="","",CEILING(E95+VLOOKUP(E95,'Profit Rules'!$A$3:$B$9,2,TRUE),'Profit Rules'!$E$3))</x:f>
        <x:v>340</x:v>
      </x:c>
      <x:c r="H95" s="36" t="n">
        <x:v>165.77</x:v>
      </x:c>
      <x:c r="I95" s="36" t="n">
        <x:f>IF(J95="","",J95-H95)</x:f>
        <x:v>49.22999999999999</x:v>
      </x:c>
      <x:c r="J95" s="42" t="n">
        <x:f>IF(H95="","",CEILING(H95+VLOOKUP(H95,'Profit Rules'!$A$3:$B$9,2,TRUE),'Profit Rules'!$E$3))</x:f>
        <x:v>215</x:v>
      </x:c>
      <x:c r="K95" s="38" t="n">
        <x:v>150.38</x:v>
      </x:c>
      <x:c r="L95" s="38" t="n">
        <x:f>IF(M95="","",M95-K95)</x:f>
        <x:v>49.620000000000005</x:v>
      </x:c>
      <x:c r="M95" s="44" t="n">
        <x:f>IF(K95="","",CEILING(K95+VLOOKUP(K95,'Profit Rules'!$A$3:$B$9,2,TRUE),'Profit Rules'!$E$3))</x:f>
        <x:v>200</x:v>
      </x:c>
    </x:row>
    <x:row r="96">
      <x:c r="A96" s="26" t="str">
        <x:v>Xiaomi / Redmi</x:v>
      </x:c>
      <x:c r="B96" s="26" t="str">
        <x:v>Redmi Note 13</x:v>
      </x:c>
      <x:c r="C96" s="26" t="str">
        <x:v>Xiaomi Redmi Note 13 Pro (5G)</x:v>
      </x:c>
      <x:c r="D96" s="26" t="str">
        <x:v>512GB</x:v>
      </x:c>
      <x:c r="E96" s="34" t="n">
        <x:v>338.08</x:v>
      </x:c>
      <x:c r="F96" s="34" t="n">
        <x:f>IF(G96="","",G96-E96)</x:f>
        <x:v>61.920000000000016</x:v>
      </x:c>
      <x:c r="G96" s="40" t="n">
        <x:f>IF(E96="","",CEILING(E96+VLOOKUP(E96,'Profit Rules'!$A$3:$B$9,2,TRUE),'Profit Rules'!$E$3))</x:f>
        <x:v>400</x:v>
      </x:c>
      <x:c r="H96" s="36" t="n">
        <x:v>181.15</x:v>
      </x:c>
      <x:c r="I96" s="36" t="n">
        <x:f>IF(J96="","",J96-H96)</x:f>
        <x:v>48.849999999999994</x:v>
      </x:c>
      <x:c r="J96" s="42" t="n">
        <x:f>IF(H96="","",CEILING(H96+VLOOKUP(H96,'Profit Rules'!$A$3:$B$9,2,TRUE),'Profit Rules'!$E$3))</x:f>
        <x:v>230</x:v>
      </x:c>
      <x:c r="K96" s="38" t="n">
        <x:v>165.77</x:v>
      </x:c>
      <x:c r="L96" s="38" t="n">
        <x:f>IF(M96="","",M96-K96)</x:f>
        <x:v>49.22999999999999</x:v>
      </x:c>
      <x:c r="M96" s="44" t="n">
        <x:f>IF(K96="","",CEILING(K96+VLOOKUP(K96,'Profit Rules'!$A$3:$B$9,2,TRUE),'Profit Rules'!$E$3))</x:f>
        <x:v>215</x:v>
      </x:c>
    </x:row>
    <x:row r="97">
      <x:c r="A97" s="26" t="str">
        <x:v>Xiaomi / Redmi</x:v>
      </x:c>
      <x:c r="B97" s="26" t="str">
        <x:v>Redmi Note 13</x:v>
      </x:c>
      <x:c r="C97" s="26" t="str">
        <x:v>Xiaomi Redmi Note 13 Pro+ (5G)</x:v>
      </x:c>
      <x:c r="D97" s="26" t="str">
        <x:v>256GB</x:v>
      </x:c>
      <x:c r="E97" s="34"/>
      <x:c r="F97" s="34" t="str">
        <x:f>IF(G97="","",G97-E97)</x:f>
      </x:c>
      <x:c r="G97" s="40" t="str">
        <x:f>IF(E97="","",CEILING(E97+VLOOKUP(E97,'Profit Rules'!$A$3:$B$9,2,TRUE),'Profit Rules'!$E$3))</x:f>
      </x:c>
      <x:c r="H97" s="36" t="n">
        <x:v>190.38</x:v>
      </x:c>
      <x:c r="I97" s="36" t="n">
        <x:f>IF(J97="","",J97-H97)</x:f>
        <x:v>49.620000000000005</x:v>
      </x:c>
      <x:c r="J97" s="42" t="n">
        <x:f>IF(H97="","",CEILING(H97+VLOOKUP(H97,'Profit Rules'!$A$3:$B$9,2,TRUE),'Profit Rules'!$E$3))</x:f>
        <x:v>240</x:v>
      </x:c>
      <x:c r="K97" s="38" t="n">
        <x:v>170.38</x:v>
      </x:c>
      <x:c r="L97" s="38" t="n">
        <x:f>IF(M97="","",M97-K97)</x:f>
        <x:v>49.620000000000005</x:v>
      </x:c>
      <x:c r="M97" s="44" t="n">
        <x:f>IF(K97="","",CEILING(K97+VLOOKUP(K97,'Profit Rules'!$A$3:$B$9,2,TRUE),'Profit Rules'!$E$3))</x:f>
        <x:v>220</x:v>
      </x:c>
    </x:row>
    <x:row r="98">
      <x:c r="A98" s="26" t="str">
        <x:v>Xiaomi / Redmi</x:v>
      </x:c>
      <x:c r="B98" s="26" t="str">
        <x:v>Redmi Note 13</x:v>
      </x:c>
      <x:c r="C98" s="26" t="str">
        <x:v>Xiaomi Redmi Note 13 Pro+ (5G)</x:v>
      </x:c>
      <x:c r="D98" s="26" t="str">
        <x:v>512GB</x:v>
      </x:c>
      <x:c r="E98" s="34"/>
      <x:c r="F98" s="34" t="str">
        <x:f>IF(G98="","",G98-E98)</x:f>
      </x:c>
      <x:c r="G98" s="40" t="str">
        <x:f>IF(E98="","",CEILING(E98+VLOOKUP(E98,'Profit Rules'!$A$3:$B$9,2,TRUE),'Profit Rules'!$E$3))</x:f>
      </x:c>
      <x:c r="H98" s="36" t="n">
        <x:v>208.85</x:v>
      </x:c>
      <x:c r="I98" s="36" t="n">
        <x:f>IF(J98="","",J98-H98)</x:f>
        <x:v>46.150000000000006</x:v>
      </x:c>
      <x:c r="J98" s="42" t="n">
        <x:f>IF(H98="","",CEILING(H98+VLOOKUP(H98,'Profit Rules'!$A$3:$B$9,2,TRUE),'Profit Rules'!$E$3))</x:f>
        <x:v>255</x:v>
      </x:c>
      <x:c r="K98" s="38" t="n">
        <x:v>185.77</x:v>
      </x:c>
      <x:c r="L98" s="38" t="n">
        <x:f>IF(M98="","",M98-K98)</x:f>
        <x:v>49.22999999999999</x:v>
      </x:c>
      <x:c r="M98" s="44" t="n">
        <x:f>IF(K98="","",CEILING(K98+VLOOKUP(K98,'Profit Rules'!$A$3:$B$9,2,TRUE),'Profit Rules'!$E$3))</x:f>
        <x:v>235</x:v>
      </x:c>
    </x:row>
    <x:row r="99">
      <x:c r="A99" s="26" t="str">
        <x:v>Xiaomi / Redmi</x:v>
      </x:c>
      <x:c r="B99" s="26" t="str">
        <x:v>Redmi Note 14</x:v>
      </x:c>
      <x:c r="C99" s="26" t="str">
        <x:v>Xiaomi Redmi Note 14 (4G)</x:v>
      </x:c>
      <x:c r="D99" s="26" t="str">
        <x:v>128GB</x:v>
      </x:c>
      <x:c r="E99" s="34" t="n">
        <x:v>193.46</x:v>
      </x:c>
      <x:c r="F99" s="34" t="n">
        <x:f>IF(G99="","",G99-E99)</x:f>
        <x:v>46.53999999999999</x:v>
      </x:c>
      <x:c r="G99" s="40" t="n">
        <x:f>IF(E99="","",CEILING(E99+VLOOKUP(E99,'Profit Rules'!$A$3:$B$9,2,TRUE),'Profit Rules'!$E$3))</x:f>
        <x:v>240</x:v>
      </x:c>
      <x:c r="H99" s="36" t="n">
        <x:v>155</x:v>
      </x:c>
      <x:c r="I99" s="36" t="n">
        <x:f>IF(J99="","",J99-H99)</x:f>
        <x:v>45</x:v>
      </x:c>
      <x:c r="J99" s="42" t="n">
        <x:f>IF(H99="","",CEILING(H99+VLOOKUP(H99,'Profit Rules'!$A$3:$B$9,2,TRUE),'Profit Rules'!$E$3))</x:f>
        <x:v>200</x:v>
      </x:c>
      <x:c r="K99" s="38" t="n">
        <x:v>142.69</x:v>
      </x:c>
      <x:c r="L99" s="38" t="n">
        <x:f>IF(M99="","",M99-K99)</x:f>
        <x:v>37.31</x:v>
      </x:c>
      <x:c r="M99" s="44" t="n">
        <x:f>IF(K99="","",CEILING(K99+VLOOKUP(K99,'Profit Rules'!$A$3:$B$9,2,TRUE),'Profit Rules'!$E$3))</x:f>
        <x:v>180</x:v>
      </x:c>
    </x:row>
    <x:row r="100">
      <x:c r="A100" s="26" t="str">
        <x:v>Xiaomi / Redmi</x:v>
      </x:c>
      <x:c r="B100" s="26" t="str">
        <x:v>Redmi Note 14</x:v>
      </x:c>
      <x:c r="C100" s="26" t="str">
        <x:v>Xiaomi Redmi Note 14 (4G)</x:v>
      </x:c>
      <x:c r="D100" s="26" t="str">
        <x:v>256GB</x:v>
      </x:c>
      <x:c r="E100" s="34" t="n">
        <x:v>239.62</x:v>
      </x:c>
      <x:c r="F100" s="34" t="n">
        <x:f>IF(G100="","",G100-E100)</x:f>
        <x:v>45.379999999999995</x:v>
      </x:c>
      <x:c r="G100" s="40" t="n">
        <x:f>IF(E100="","",CEILING(E100+VLOOKUP(E100,'Profit Rules'!$A$3:$B$9,2,TRUE),'Profit Rules'!$E$3))</x:f>
        <x:v>285</x:v>
      </x:c>
      <x:c r="H100" s="36" t="n">
        <x:v>164.23</x:v>
      </x:c>
      <x:c r="I100" s="36" t="n">
        <x:f>IF(J100="","",J100-H100)</x:f>
        <x:v>45.77000000000001</x:v>
      </x:c>
      <x:c r="J100" s="42" t="n">
        <x:f>IF(H100="","",CEILING(H100+VLOOKUP(H100,'Profit Rules'!$A$3:$B$9,2,TRUE),'Profit Rules'!$E$3))</x:f>
        <x:v>210</x:v>
      </x:c>
      <x:c r="K100" s="38" t="n">
        <x:v>155</x:v>
      </x:c>
      <x:c r="L100" s="38" t="n">
        <x:f>IF(M100="","",M100-K100)</x:f>
        <x:v>45</x:v>
      </x:c>
      <x:c r="M100" s="44" t="n">
        <x:f>IF(K100="","",CEILING(K100+VLOOKUP(K100,'Profit Rules'!$A$3:$B$9,2,TRUE),'Profit Rules'!$E$3))</x:f>
        <x:v>200</x:v>
      </x:c>
    </x:row>
    <x:row r="101">
      <x:c r="A101" s="26" t="str">
        <x:v>Xiaomi / Redmi</x:v>
      </x:c>
      <x:c r="B101" s="26" t="str">
        <x:v>Redmi Note 14</x:v>
      </x:c>
      <x:c r="C101" s="26" t="str">
        <x:v>Xiaomi Redmi Note 14 Pro (5G)</x:v>
      </x:c>
      <x:c r="D101" s="26" t="str">
        <x:v>128GB</x:v>
      </x:c>
      <x:c r="E101" s="34"/>
      <x:c r="F101" s="34" t="str">
        <x:f>IF(G101="","",G101-E101)</x:f>
      </x:c>
      <x:c r="G101" s="40" t="str">
        <x:f>IF(E101="","",CEILING(E101+VLOOKUP(E101,'Profit Rules'!$A$3:$B$9,2,TRUE),'Profit Rules'!$E$3))</x:f>
      </x:c>
      <x:c r="H101" s="36" t="n">
        <x:v>164.23</x:v>
      </x:c>
      <x:c r="I101" s="36" t="n">
        <x:f>IF(J101="","",J101-H101)</x:f>
        <x:v>45.77000000000001</x:v>
      </x:c>
      <x:c r="J101" s="42" t="n">
        <x:f>IF(H101="","",CEILING(H101+VLOOKUP(H101,'Profit Rules'!$A$3:$B$9,2,TRUE),'Profit Rules'!$E$3))</x:f>
        <x:v>210</x:v>
      </x:c>
      <x:c r="K101" s="38" t="n">
        <x:v>151.92</x:v>
      </x:c>
      <x:c r="L101" s="38" t="n">
        <x:f>IF(M101="","",M101-K101)</x:f>
        <x:v>48.08000000000001</x:v>
      </x:c>
      <x:c r="M101" s="44" t="n">
        <x:f>IF(K101="","",CEILING(K101+VLOOKUP(K101,'Profit Rules'!$A$3:$B$9,2,TRUE),'Profit Rules'!$E$3))</x:f>
        <x:v>200</x:v>
      </x:c>
    </x:row>
    <x:row r="102">
      <x:c r="A102" s="26" t="str">
        <x:v>Xiaomi / Redmi</x:v>
      </x:c>
      <x:c r="B102" s="26" t="str">
        <x:v>Redmi Note 14</x:v>
      </x:c>
      <x:c r="C102" s="26" t="str">
        <x:v>Xiaomi Redmi Note 14 Pro (5G)</x:v>
      </x:c>
      <x:c r="D102" s="26" t="str">
        <x:v>256GB</x:v>
      </x:c>
      <x:c r="E102" s="34" t="n">
        <x:v>244.23</x:v>
      </x:c>
      <x:c r="F102" s="34" t="n">
        <x:f>IF(G102="","",G102-E102)</x:f>
        <x:v>45.77000000000001</x:v>
      </x:c>
      <x:c r="G102" s="40" t="n">
        <x:f>IF(E102="","",CEILING(E102+VLOOKUP(E102,'Profit Rules'!$A$3:$B$9,2,TRUE),'Profit Rules'!$E$3))</x:f>
        <x:v>290</x:v>
      </x:c>
      <x:c r="H102" s="36" t="n">
        <x:v>176.54</x:v>
      </x:c>
      <x:c r="I102" s="36" t="n">
        <x:f>IF(J102="","",J102-H102)</x:f>
        <x:v>48.46000000000001</x:v>
      </x:c>
      <x:c r="J102" s="42" t="n">
        <x:f>IF(H102="","",CEILING(H102+VLOOKUP(H102,'Profit Rules'!$A$3:$B$9,2,TRUE),'Profit Rules'!$E$3))</x:f>
        <x:v>225</x:v>
      </x:c>
      <x:c r="K102" s="38" t="n">
        <x:v>161.15</x:v>
      </x:c>
      <x:c r="L102" s="38" t="n">
        <x:f>IF(M102="","",M102-K102)</x:f>
        <x:v>48.849999999999994</x:v>
      </x:c>
      <x:c r="M102" s="44" t="n">
        <x:f>IF(K102="","",CEILING(K102+VLOOKUP(K102,'Profit Rules'!$A$3:$B$9,2,TRUE),'Profit Rules'!$E$3))</x:f>
        <x:v>210</x:v>
      </x:c>
    </x:row>
    <x:row r="103">
      <x:c r="A103" s="26" t="str">
        <x:v>Xiaomi / Redmi</x:v>
      </x:c>
      <x:c r="B103" s="26" t="str">
        <x:v>Redmi Note 14</x:v>
      </x:c>
      <x:c r="C103" s="26" t="str">
        <x:v>Xiaomi Redmi Note 14 Pro (5G)</x:v>
      </x:c>
      <x:c r="D103" s="26" t="str">
        <x:v>512GB</x:v>
      </x:c>
      <x:c r="E103" s="34" t="n">
        <x:v>265.77</x:v>
      </x:c>
      <x:c r="F103" s="34" t="n">
        <x:f>IF(G103="","",G103-E103)</x:f>
        <x:v>64.23000000000002</x:v>
      </x:c>
      <x:c r="G103" s="40" t="n">
        <x:f>IF(E103="","",CEILING(E103+VLOOKUP(E103,'Profit Rules'!$A$3:$B$9,2,TRUE),'Profit Rules'!$E$3))</x:f>
        <x:v>330</x:v>
      </x:c>
      <x:c r="H103" s="36" t="n">
        <x:v>199.62</x:v>
      </x:c>
      <x:c r="I103" s="36" t="n">
        <x:f>IF(J103="","",J103-H103)</x:f>
        <x:v>45.379999999999995</x:v>
      </x:c>
      <x:c r="J103" s="42" t="n">
        <x:f>IF(H103="","",CEILING(H103+VLOOKUP(H103,'Profit Rules'!$A$3:$B$9,2,TRUE),'Profit Rules'!$E$3))</x:f>
        <x:v>245</x:v>
      </x:c>
      <x:c r="K103" s="38" t="n">
        <x:v>190.38</x:v>
      </x:c>
      <x:c r="L103" s="38" t="n">
        <x:f>IF(M103="","",M103-K103)</x:f>
        <x:v>49.620000000000005</x:v>
      </x:c>
      <x:c r="M103" s="44" t="n">
        <x:f>IF(K103="","",CEILING(K103+VLOOKUP(K103,'Profit Rules'!$A$3:$B$9,2,TRUE),'Profit Rules'!$E$3))</x:f>
        <x:v>240</x:v>
      </x:c>
    </x:row>
    <x:row r="104">
      <x:c r="A104" s="26" t="str">
        <x:v>Xiaomi / Redmi</x:v>
      </x:c>
      <x:c r="B104" s="26" t="str">
        <x:v>Redmi Note 14</x:v>
      </x:c>
      <x:c r="C104" s="26" t="str">
        <x:v>Xiaomi Redmi Note 14 Pro+ (5G)</x:v>
      </x:c>
      <x:c r="D104" s="26" t="str">
        <x:v>256GB</x:v>
      </x:c>
      <x:c r="E104" s="34" t="n">
        <x:v>267.31</x:v>
      </x:c>
      <x:c r="F104" s="34" t="n">
        <x:f>IF(G104="","",G104-E104)</x:f>
        <x:v>62.69</x:v>
      </x:c>
      <x:c r="G104" s="40" t="n">
        <x:f>IF(E104="","",CEILING(E104+VLOOKUP(E104,'Profit Rules'!$A$3:$B$9,2,TRUE),'Profit Rules'!$E$3))</x:f>
        <x:v>330</x:v>
      </x:c>
      <x:c r="H104" s="36"/>
      <x:c r="I104" s="36" t="str">
        <x:f>IF(J104="","",J104-H104)</x:f>
      </x:c>
      <x:c r="J104" s="42" t="str">
        <x:f>IF(H104="","",CEILING(H104+VLOOKUP(H104,'Profit Rules'!$A$3:$B$9,2,TRUE),'Profit Rules'!$E$3))</x:f>
      </x:c>
      <x:c r="K104" s="38"/>
      <x:c r="L104" s="38" t="str">
        <x:f>IF(M104="","",M104-K104)</x:f>
      </x:c>
      <x:c r="M104" s="44" t="str">
        <x:f>IF(K104="","",CEILING(K104+VLOOKUP(K104,'Profit Rules'!$A$3:$B$9,2,TRUE),'Profit Rules'!$E$3))</x:f>
      </x:c>
    </x:row>
    <x:row r="105">
      <x:c r="A105" s="46" t="str">
        <x:v>Xiaomi / Redmi</x:v>
      </x:c>
      <x:c r="B105" s="46" t="str">
        <x:v>Redmi Note 14</x:v>
      </x:c>
      <x:c r="C105" s="46" t="str">
        <x:v>Xiaomi Redmi Note 14 Pro+ (5G)</x:v>
      </x:c>
      <x:c r="D105" s="46" t="str">
        <x:v>512GB</x:v>
      </x:c>
      <x:c r="E105" s="47" t="n">
        <x:v>275</x:v>
      </x:c>
      <x:c r="F105" s="47" t="n">
        <x:f>IF(G105="","",G105-E105)</x:f>
        <x:v>60</x:v>
      </x:c>
      <x:c r="G105" s="48" t="n">
        <x:f>IF(E105="","",CEILING(E105+VLOOKUP(E105,'Profit Rules'!$A$3:$B$9,2,TRUE),'Profit Rules'!$E$3))</x:f>
        <x:v>335</x:v>
      </x:c>
      <x:c r="H105" s="49"/>
      <x:c r="I105" s="49" t="str">
        <x:f>IF(J105="","",J105-H105)</x:f>
      </x:c>
      <x:c r="J105" s="50" t="str">
        <x:f>IF(H105="","",CEILING(H105+VLOOKUP(H105,'Profit Rules'!$A$3:$B$9,2,TRUE),'Profit Rules'!$E$3))</x:f>
      </x:c>
      <x:c r="K105" s="51"/>
      <x:c r="L105" s="51" t="str">
        <x:f>IF(M105="","",M105-K105)</x:f>
      </x:c>
      <x:c r="M105" s="52" t="str">
        <x:f>IF(K105="","",CEILING(K105+VLOOKUP(K105,'Profit Rules'!$A$3:$B$9,2,TRUE),'Profit Rules'!$E$3))</x:f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1c8f6218764c4c9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</x:cols>
  <x:sheetData>
    <x:row r="1">
      <x:c r="A1" s="5" t="str">
        <x:v>KukuLanka Profit Rules</x:v>
      </x:c>
      <x:c r="B1" s="5"/>
      <x:c r="C1" s="5"/>
      <x:c r="D1" s="5"/>
      <x:c r="E1" s="5"/>
    </x:row>
    <x:row r="2">
      <x:c r="A2" s="20" t="str">
        <x:v>Minimum Cost (USD)</x:v>
      </x:c>
      <x:c r="B2" s="20" t="str">
        <x:v>Base Profit (USD)</x:v>
      </x:c>
      <x:c r="C2" s="20" t="str">
        <x:v>Maximum Cost (USD)</x:v>
      </x:c>
      <x:c r="D2" s="20" t="str">
        <x:v>Rule</x:v>
      </x:c>
      <x:c r="E2" s="20" t="str">
        <x:v>Selling-price rounding</x:v>
      </x:c>
    </x:row>
    <x:row r="3">
      <x:c r="A3" s="60" t="n">
        <x:v>0</x:v>
      </x:c>
      <x:c r="B3" s="62" t="n">
        <x:v>35</x:v>
      </x:c>
      <x:c r="C3" s="60" t="n">
        <x:v>149.99</x:v>
      </x:c>
      <x:c r="D3" s="26" t="str">
        <x:v>Cost &lt; $150</x:v>
      </x:c>
      <x:c r="E3" s="64" t="n">
        <x:v>5</x:v>
      </x:c>
    </x:row>
    <x:row r="4">
      <x:c r="A4" s="60" t="n">
        <x:v>150</x:v>
      </x:c>
      <x:c r="B4" s="62" t="n">
        <x:v>45</x:v>
      </x:c>
      <x:c r="C4" s="60" t="n">
        <x:v>249.99</x:v>
      </x:c>
      <x:c r="D4" s="26" t="str">
        <x:v>$150–$249.99</x:v>
      </x:c>
      <x:c r="E4" s="26"/>
    </x:row>
    <x:row r="5">
      <x:c r="A5" s="60" t="n">
        <x:v>250</x:v>
      </x:c>
      <x:c r="B5" s="62" t="n">
        <x:v>60</x:v>
      </x:c>
      <x:c r="C5" s="60" t="n">
        <x:v>399.99</x:v>
      </x:c>
      <x:c r="D5" s="26" t="str">
        <x:v>$250–$399.99</x:v>
      </x:c>
      <x:c r="E5" s="26"/>
    </x:row>
    <x:row r="6">
      <x:c r="A6" s="60" t="n">
        <x:v>400</x:v>
      </x:c>
      <x:c r="B6" s="62" t="n">
        <x:v>80</x:v>
      </x:c>
      <x:c r="C6" s="60" t="n">
        <x:v>599.99</x:v>
      </x:c>
      <x:c r="D6" s="26" t="str">
        <x:v>$400–$599.99</x:v>
      </x:c>
      <x:c r="E6" s="26"/>
    </x:row>
    <x:row r="7">
      <x:c r="A7" s="60" t="n">
        <x:v>600</x:v>
      </x:c>
      <x:c r="B7" s="62" t="n">
        <x:v>110</x:v>
      </x:c>
      <x:c r="C7" s="60" t="n">
        <x:v>899.99</x:v>
      </x:c>
      <x:c r="D7" s="26" t="str">
        <x:v>$600–$899.99</x:v>
      </x:c>
      <x:c r="E7" s="26"/>
    </x:row>
    <x:row r="8">
      <x:c r="A8" s="60" t="n">
        <x:v>900</x:v>
      </x:c>
      <x:c r="B8" s="62" t="n">
        <x:v>140</x:v>
      </x:c>
      <x:c r="C8" s="60" t="n">
        <x:v>1199.99</x:v>
      </x:c>
      <x:c r="D8" s="26" t="str">
        <x:v>$900–$1,199.99</x:v>
      </x:c>
      <x:c r="E8" s="26"/>
    </x:row>
    <x:row r="9">
      <x:c r="A9" s="60" t="n">
        <x:v>1200</x:v>
      </x:c>
      <x:c r="B9" s="62" t="n">
        <x:v>180</x:v>
      </x:c>
      <x:c r="C9" s="60"/>
      <x:c r="D9" s="26" t="str">
        <x:v>$1,200+</x:v>
      </x:c>
      <x:c r="E9" s="2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ca9ed0e5d04330"/>
  </x:tableParts>
</x:worksheet>
</file>